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職業用ファイル\マクロ\道徳意識調査\"/>
    </mc:Choice>
  </mc:AlternateContent>
  <bookViews>
    <workbookView xWindow="-120" yWindow="-120" windowWidth="29040" windowHeight="15720" tabRatio="1000" activeTab="10"/>
  </bookViews>
  <sheets>
    <sheet name="１・２年印刷用" sheetId="11" r:id="rId1"/>
    <sheet name="３・４年印刷用" sheetId="16" r:id="rId2"/>
    <sheet name="５・６年印刷用" sheetId="20" r:id="rId3"/>
    <sheet name="１・２年　１回目" sheetId="9" r:id="rId4"/>
    <sheet name="１・２年　２回目" sheetId="10" r:id="rId5"/>
    <sheet name="１・２年　総括" sheetId="15" r:id="rId6"/>
    <sheet name="３・４年　１回目" sheetId="17" r:id="rId7"/>
    <sheet name="３・４年　２回目" sheetId="18" r:id="rId8"/>
    <sheet name="３・４年　総括" sheetId="19" r:id="rId9"/>
    <sheet name="５・６年　１回目" sheetId="21" r:id="rId10"/>
    <sheet name="５・６年　２回目" sheetId="22" r:id="rId11"/>
    <sheet name="５・６年　総括" sheetId="23" r:id="rId12"/>
    <sheet name="１～６年　当初 " sheetId="26" r:id="rId13"/>
    <sheet name="１～６年　末 " sheetId="27" r:id="rId14"/>
    <sheet name="１～６年　総括 " sheetId="25" r:id="rId15"/>
  </sheets>
  <definedNames>
    <definedName name="_xlnm.Print_Area" localSheetId="14">'１～６年　総括 '!$A$1:$K$38</definedName>
    <definedName name="_xlnm.Print_Area" localSheetId="12">'１～６年　当初 '!$A$1:$O$13</definedName>
    <definedName name="_xlnm.Print_Area" localSheetId="13">'１～６年　末 '!$A$1:$O$13</definedName>
    <definedName name="_xlnm.Print_Area" localSheetId="3">'１・２年　１回目'!$A$1:$O$13</definedName>
    <definedName name="_xlnm.Print_Area" localSheetId="4">'１・２年　２回目'!$A$1:$O$13</definedName>
    <definedName name="_xlnm.Print_Area" localSheetId="5">'１・２年　総括'!$A$1:$K$38</definedName>
    <definedName name="_xlnm.Print_Area" localSheetId="0">'１・２年印刷用'!$A$1:$G$14</definedName>
    <definedName name="_xlnm.Print_Area" localSheetId="6">'３・４年　１回目'!$A$1:$O$13</definedName>
    <definedName name="_xlnm.Print_Area" localSheetId="7">'３・４年　２回目'!$A$1:$O$13</definedName>
    <definedName name="_xlnm.Print_Area" localSheetId="8">'３・４年　総括'!$A$1:$K$38</definedName>
    <definedName name="_xlnm.Print_Area" localSheetId="1">'３・４年印刷用'!$A$1:$G$14</definedName>
    <definedName name="_xlnm.Print_Area" localSheetId="9">'５・６年　１回目'!$A$1:$O$13</definedName>
    <definedName name="_xlnm.Print_Area" localSheetId="10">'５・６年　２回目'!$A$1:$O$13</definedName>
    <definedName name="_xlnm.Print_Area" localSheetId="11">'５・６年　総括'!$A$1:$K$38</definedName>
    <definedName name="_xlnm.Print_Area" localSheetId="2">'５・６年印刷用'!$A$1:$G$14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21" l="1"/>
  <c r="H5" i="21"/>
  <c r="H6" i="21"/>
  <c r="H7" i="21"/>
  <c r="K7" i="21" s="1"/>
  <c r="H8" i="21"/>
  <c r="H9" i="21"/>
  <c r="M9" i="21" s="1"/>
  <c r="H10" i="21"/>
  <c r="H11" i="21"/>
  <c r="H12" i="21"/>
  <c r="H13" i="21"/>
  <c r="I5" i="9"/>
  <c r="C13" i="10"/>
  <c r="I13" i="10" s="1"/>
  <c r="H4" i="9"/>
  <c r="M4" i="9" s="1"/>
  <c r="H5" i="9"/>
  <c r="M5" i="9" s="1"/>
  <c r="H6" i="9"/>
  <c r="H7" i="9"/>
  <c r="K7" i="9" s="1"/>
  <c r="H8" i="9"/>
  <c r="J8" i="9" s="1"/>
  <c r="H9" i="9"/>
  <c r="M9" i="9" s="1"/>
  <c r="H10" i="9"/>
  <c r="J10" i="9" s="1"/>
  <c r="H11" i="9"/>
  <c r="M11" i="9" s="1"/>
  <c r="H12" i="9"/>
  <c r="H13" i="9"/>
  <c r="I4" i="9"/>
  <c r="G6" i="27"/>
  <c r="G7" i="27"/>
  <c r="G8" i="27"/>
  <c r="G9" i="27"/>
  <c r="G10" i="27"/>
  <c r="G11" i="27"/>
  <c r="G12" i="27"/>
  <c r="G13" i="27"/>
  <c r="F6" i="27"/>
  <c r="F7" i="27"/>
  <c r="F8" i="27"/>
  <c r="F9" i="27"/>
  <c r="F10" i="27"/>
  <c r="F11" i="27"/>
  <c r="F12" i="27"/>
  <c r="F13" i="27"/>
  <c r="E6" i="27"/>
  <c r="E7" i="27"/>
  <c r="E8" i="27"/>
  <c r="E9" i="27"/>
  <c r="E10" i="27"/>
  <c r="E11" i="27"/>
  <c r="E12" i="27"/>
  <c r="E13" i="27"/>
  <c r="D6" i="27"/>
  <c r="D7" i="27"/>
  <c r="D8" i="27"/>
  <c r="D9" i="27"/>
  <c r="D10" i="27"/>
  <c r="I10" i="27" s="1"/>
  <c r="D11" i="27"/>
  <c r="D12" i="27"/>
  <c r="D13" i="27"/>
  <c r="G6" i="26"/>
  <c r="G7" i="26"/>
  <c r="G8" i="26"/>
  <c r="G9" i="26"/>
  <c r="G10" i="26"/>
  <c r="G11" i="26"/>
  <c r="G12" i="26"/>
  <c r="G13" i="26"/>
  <c r="F6" i="26"/>
  <c r="F7" i="26"/>
  <c r="F8" i="26"/>
  <c r="F9" i="26"/>
  <c r="F10" i="26"/>
  <c r="F11" i="26"/>
  <c r="F12" i="26"/>
  <c r="F13" i="26"/>
  <c r="E6" i="26"/>
  <c r="E7" i="26"/>
  <c r="E8" i="26"/>
  <c r="E9" i="26"/>
  <c r="E10" i="26"/>
  <c r="E11" i="26"/>
  <c r="E12" i="26"/>
  <c r="E13" i="26"/>
  <c r="D7" i="26"/>
  <c r="D8" i="26"/>
  <c r="D9" i="26"/>
  <c r="D10" i="26"/>
  <c r="D11" i="26"/>
  <c r="D12" i="26"/>
  <c r="D13" i="26"/>
  <c r="L9" i="25"/>
  <c r="M9" i="25"/>
  <c r="L10" i="25"/>
  <c r="M10" i="25"/>
  <c r="L11" i="25"/>
  <c r="M11" i="25"/>
  <c r="L12" i="25"/>
  <c r="M12" i="25"/>
  <c r="L13" i="25"/>
  <c r="M13" i="25"/>
  <c r="L14" i="25"/>
  <c r="M14" i="25"/>
  <c r="L15" i="25"/>
  <c r="M15" i="25"/>
  <c r="L16" i="25"/>
  <c r="M16" i="25"/>
  <c r="H1" i="26"/>
  <c r="G3" i="25" s="1"/>
  <c r="H1" i="27"/>
  <c r="G4" i="25" s="1"/>
  <c r="D4" i="26"/>
  <c r="E4" i="27"/>
  <c r="F4" i="27"/>
  <c r="G4" i="27"/>
  <c r="E5" i="27"/>
  <c r="F5" i="27"/>
  <c r="G5" i="27"/>
  <c r="D5" i="27"/>
  <c r="D4" i="27"/>
  <c r="E4" i="26"/>
  <c r="F4" i="26"/>
  <c r="G4" i="26"/>
  <c r="E5" i="26"/>
  <c r="F5" i="26"/>
  <c r="G5" i="26"/>
  <c r="D5" i="26"/>
  <c r="D6" i="26"/>
  <c r="G3" i="19"/>
  <c r="C6" i="9"/>
  <c r="C2" i="27"/>
  <c r="C2" i="26"/>
  <c r="M18" i="23"/>
  <c r="L18" i="23"/>
  <c r="M17" i="23"/>
  <c r="L17" i="23"/>
  <c r="M16" i="23"/>
  <c r="L16" i="23"/>
  <c r="M15" i="23"/>
  <c r="L15" i="23"/>
  <c r="M14" i="23"/>
  <c r="L14" i="23"/>
  <c r="M13" i="23"/>
  <c r="L13" i="23"/>
  <c r="M12" i="23"/>
  <c r="L12" i="23"/>
  <c r="M11" i="23"/>
  <c r="L11" i="23"/>
  <c r="M10" i="23"/>
  <c r="L10" i="23"/>
  <c r="M9" i="23"/>
  <c r="L9" i="23"/>
  <c r="G4" i="23"/>
  <c r="G3" i="23"/>
  <c r="I13" i="22"/>
  <c r="H13" i="22"/>
  <c r="K13" i="22" s="1"/>
  <c r="C13" i="22"/>
  <c r="I12" i="22"/>
  <c r="H12" i="22"/>
  <c r="J12" i="22" s="1"/>
  <c r="C12" i="22"/>
  <c r="I11" i="22"/>
  <c r="H11" i="22"/>
  <c r="M11" i="22" s="1"/>
  <c r="C11" i="22"/>
  <c r="I10" i="22"/>
  <c r="H10" i="22"/>
  <c r="J10" i="22" s="1"/>
  <c r="C10" i="22"/>
  <c r="I9" i="22"/>
  <c r="H9" i="22"/>
  <c r="L9" i="22" s="1"/>
  <c r="J9" i="22"/>
  <c r="C9" i="22"/>
  <c r="I8" i="22"/>
  <c r="H8" i="22"/>
  <c r="J8" i="22" s="1"/>
  <c r="C8" i="22"/>
  <c r="I7" i="22"/>
  <c r="H7" i="22"/>
  <c r="K7" i="22" s="1"/>
  <c r="C7" i="22"/>
  <c r="I6" i="22"/>
  <c r="H6" i="22"/>
  <c r="N6" i="22" s="1"/>
  <c r="C6" i="22"/>
  <c r="I5" i="22"/>
  <c r="H5" i="22"/>
  <c r="K5" i="22" s="1"/>
  <c r="C5" i="22"/>
  <c r="I4" i="22"/>
  <c r="H4" i="22"/>
  <c r="K4" i="22" s="1"/>
  <c r="C4" i="22"/>
  <c r="C2" i="22"/>
  <c r="A1" i="22"/>
  <c r="I13" i="21"/>
  <c r="C13" i="21"/>
  <c r="I12" i="21"/>
  <c r="K12" i="21"/>
  <c r="J12" i="21"/>
  <c r="C12" i="21"/>
  <c r="I11" i="21"/>
  <c r="J11" i="21"/>
  <c r="C11" i="21"/>
  <c r="I10" i="21"/>
  <c r="C10" i="21"/>
  <c r="I9" i="21"/>
  <c r="C9" i="21"/>
  <c r="I8" i="21"/>
  <c r="J8" i="21"/>
  <c r="C8" i="21"/>
  <c r="I7" i="21"/>
  <c r="C7" i="21"/>
  <c r="I6" i="21"/>
  <c r="C6" i="21"/>
  <c r="I5" i="21"/>
  <c r="C5" i="21"/>
  <c r="I4" i="21"/>
  <c r="J4" i="21"/>
  <c r="C4" i="21"/>
  <c r="C2" i="21"/>
  <c r="A1" i="21"/>
  <c r="G4" i="19"/>
  <c r="L9" i="19"/>
  <c r="M9" i="19"/>
  <c r="L10" i="19"/>
  <c r="M10" i="19"/>
  <c r="L11" i="19"/>
  <c r="M11" i="19"/>
  <c r="L12" i="19"/>
  <c r="M12" i="19"/>
  <c r="L13" i="19"/>
  <c r="M13" i="19"/>
  <c r="L14" i="19"/>
  <c r="M14" i="19"/>
  <c r="L15" i="19"/>
  <c r="M15" i="19"/>
  <c r="L16" i="19"/>
  <c r="M16" i="19"/>
  <c r="L17" i="19"/>
  <c r="M17" i="19"/>
  <c r="L18" i="19"/>
  <c r="M18" i="19"/>
  <c r="A1" i="18"/>
  <c r="C2" i="18"/>
  <c r="C4" i="18"/>
  <c r="H4" i="18"/>
  <c r="M4" i="18" s="1"/>
  <c r="I4" i="18"/>
  <c r="C5" i="18"/>
  <c r="H5" i="18"/>
  <c r="J5" i="18" s="1"/>
  <c r="M5" i="18"/>
  <c r="I5" i="18"/>
  <c r="C6" i="18"/>
  <c r="H6" i="18"/>
  <c r="M6" i="18"/>
  <c r="L6" i="18"/>
  <c r="I6" i="18"/>
  <c r="N6" i="18"/>
  <c r="O6" i="18" s="1"/>
  <c r="C7" i="18"/>
  <c r="H7" i="18"/>
  <c r="L7" i="18" s="1"/>
  <c r="I7" i="18"/>
  <c r="C8" i="18"/>
  <c r="H8" i="18"/>
  <c r="M8" i="18" s="1"/>
  <c r="K8" i="18"/>
  <c r="I8" i="18"/>
  <c r="N8" i="18"/>
  <c r="O8" i="18" s="1"/>
  <c r="C9" i="18"/>
  <c r="H9" i="18"/>
  <c r="K9" i="18" s="1"/>
  <c r="I9" i="18"/>
  <c r="C10" i="18"/>
  <c r="H10" i="18"/>
  <c r="M10" i="18" s="1"/>
  <c r="I10" i="18"/>
  <c r="N10" i="18" s="1"/>
  <c r="H8" i="19" s="1"/>
  <c r="C11" i="18"/>
  <c r="H11" i="18"/>
  <c r="L11" i="18" s="1"/>
  <c r="I11" i="18"/>
  <c r="N11" i="18" s="1"/>
  <c r="O11" i="18" s="1"/>
  <c r="C12" i="18"/>
  <c r="H12" i="18"/>
  <c r="M12" i="18" s="1"/>
  <c r="J12" i="18"/>
  <c r="I12" i="18"/>
  <c r="N12" i="18"/>
  <c r="J8" i="19" s="1"/>
  <c r="C13" i="18"/>
  <c r="H13" i="18"/>
  <c r="K13" i="18" s="1"/>
  <c r="I13" i="18"/>
  <c r="A1" i="17"/>
  <c r="C2" i="17"/>
  <c r="C4" i="17"/>
  <c r="H4" i="17"/>
  <c r="M4" i="17" s="1"/>
  <c r="I4" i="17"/>
  <c r="C5" i="17"/>
  <c r="H5" i="17"/>
  <c r="J5" i="17" s="1"/>
  <c r="I5" i="17"/>
  <c r="C6" i="17"/>
  <c r="H6" i="17"/>
  <c r="J6" i="17" s="1"/>
  <c r="I6" i="17"/>
  <c r="C7" i="17"/>
  <c r="H7" i="17"/>
  <c r="M7" i="17" s="1"/>
  <c r="I7" i="17"/>
  <c r="C8" i="17"/>
  <c r="H8" i="17"/>
  <c r="K8" i="17" s="1"/>
  <c r="I8" i="17"/>
  <c r="C9" i="17"/>
  <c r="H9" i="17"/>
  <c r="M9" i="17" s="1"/>
  <c r="I9" i="17"/>
  <c r="C10" i="17"/>
  <c r="H10" i="17"/>
  <c r="J10" i="17" s="1"/>
  <c r="I10" i="17"/>
  <c r="C11" i="17"/>
  <c r="H11" i="17"/>
  <c r="K11" i="17" s="1"/>
  <c r="I11" i="17"/>
  <c r="C12" i="17"/>
  <c r="H12" i="17"/>
  <c r="M12" i="17" s="1"/>
  <c r="I12" i="17"/>
  <c r="N12" i="17" s="1"/>
  <c r="J7" i="19" s="1"/>
  <c r="C13" i="17"/>
  <c r="H13" i="17"/>
  <c r="M13" i="17" s="1"/>
  <c r="I13" i="17"/>
  <c r="H4" i="10"/>
  <c r="L4" i="10" s="1"/>
  <c r="G4" i="15"/>
  <c r="G3" i="15"/>
  <c r="M10" i="15"/>
  <c r="M11" i="15"/>
  <c r="M12" i="15"/>
  <c r="M13" i="15"/>
  <c r="M14" i="15"/>
  <c r="M15" i="15"/>
  <c r="M16" i="15"/>
  <c r="M17" i="15"/>
  <c r="M18" i="15"/>
  <c r="M9" i="15"/>
  <c r="L10" i="15"/>
  <c r="L11" i="15"/>
  <c r="L12" i="15"/>
  <c r="L13" i="15"/>
  <c r="L14" i="15"/>
  <c r="L15" i="15"/>
  <c r="L16" i="15"/>
  <c r="L17" i="15"/>
  <c r="L18" i="15"/>
  <c r="L9" i="15"/>
  <c r="I12" i="10"/>
  <c r="H12" i="10"/>
  <c r="N12" i="10" s="1"/>
  <c r="C12" i="10"/>
  <c r="I11" i="10"/>
  <c r="H11" i="10"/>
  <c r="C11" i="10"/>
  <c r="I10" i="10"/>
  <c r="H10" i="10"/>
  <c r="M10" i="10" s="1"/>
  <c r="C10" i="10"/>
  <c r="I9" i="10"/>
  <c r="H9" i="10"/>
  <c r="L9" i="10" s="1"/>
  <c r="C9" i="10"/>
  <c r="I8" i="10"/>
  <c r="H8" i="10"/>
  <c r="L8" i="10" s="1"/>
  <c r="C8" i="10"/>
  <c r="I7" i="10"/>
  <c r="H7" i="10"/>
  <c r="M7" i="10" s="1"/>
  <c r="C7" i="10"/>
  <c r="I6" i="10"/>
  <c r="H6" i="10"/>
  <c r="L6" i="10" s="1"/>
  <c r="C6" i="10"/>
  <c r="I5" i="10"/>
  <c r="H5" i="10"/>
  <c r="M5" i="10" s="1"/>
  <c r="C5" i="10"/>
  <c r="I4" i="10"/>
  <c r="C4" i="10"/>
  <c r="C2" i="10"/>
  <c r="A1" i="10"/>
  <c r="C9" i="9"/>
  <c r="C10" i="9"/>
  <c r="C11" i="9"/>
  <c r="C12" i="9"/>
  <c r="C13" i="9"/>
  <c r="C7" i="9"/>
  <c r="C8" i="9"/>
  <c r="C5" i="9"/>
  <c r="C4" i="9"/>
  <c r="C2" i="9"/>
  <c r="A1" i="9"/>
  <c r="I6" i="9"/>
  <c r="I7" i="9"/>
  <c r="I8" i="9"/>
  <c r="I9" i="9"/>
  <c r="I10" i="9"/>
  <c r="I11" i="9"/>
  <c r="I12" i="9"/>
  <c r="I13" i="9"/>
  <c r="M6" i="9"/>
  <c r="J12" i="9"/>
  <c r="K13" i="9"/>
  <c r="J9" i="18"/>
  <c r="M9" i="18"/>
  <c r="M7" i="18"/>
  <c r="K6" i="18"/>
  <c r="J6" i="18"/>
  <c r="K7" i="18"/>
  <c r="L12" i="18"/>
  <c r="J7" i="18"/>
  <c r="K12" i="22" l="1"/>
  <c r="J13" i="22"/>
  <c r="J6" i="22"/>
  <c r="N13" i="22"/>
  <c r="K8" i="23" s="1"/>
  <c r="L13" i="22"/>
  <c r="M13" i="22"/>
  <c r="K11" i="22"/>
  <c r="L11" i="22"/>
  <c r="J11" i="22"/>
  <c r="K9" i="22"/>
  <c r="N9" i="22"/>
  <c r="G8" i="23" s="1"/>
  <c r="M9" i="22"/>
  <c r="J7" i="22"/>
  <c r="L6" i="22"/>
  <c r="H5" i="27"/>
  <c r="M5" i="27" s="1"/>
  <c r="N10" i="21"/>
  <c r="H7" i="23" s="1"/>
  <c r="N5" i="21"/>
  <c r="C7" i="23" s="1"/>
  <c r="L11" i="21"/>
  <c r="M11" i="21"/>
  <c r="N11" i="21"/>
  <c r="O11" i="21" s="1"/>
  <c r="K11" i="21"/>
  <c r="N9" i="21"/>
  <c r="O9" i="21" s="1"/>
  <c r="L8" i="21"/>
  <c r="K8" i="21"/>
  <c r="N8" i="21"/>
  <c r="O8" i="21" s="1"/>
  <c r="M8" i="21"/>
  <c r="J7" i="21"/>
  <c r="M7" i="21"/>
  <c r="J5" i="21"/>
  <c r="H13" i="27"/>
  <c r="L13" i="27" s="1"/>
  <c r="N11" i="10"/>
  <c r="H13" i="10"/>
  <c r="L13" i="10" s="1"/>
  <c r="J10" i="10"/>
  <c r="I9" i="27"/>
  <c r="K7" i="10"/>
  <c r="J7" i="10"/>
  <c r="N6" i="17"/>
  <c r="N12" i="22"/>
  <c r="J8" i="23" s="1"/>
  <c r="L12" i="22"/>
  <c r="H6" i="27"/>
  <c r="M6" i="27" s="1"/>
  <c r="M12" i="22"/>
  <c r="N8" i="22"/>
  <c r="O8" i="22" s="1"/>
  <c r="M6" i="22"/>
  <c r="M8" i="22"/>
  <c r="N10" i="22"/>
  <c r="H8" i="23" s="1"/>
  <c r="I13" i="27"/>
  <c r="N13" i="27" s="1"/>
  <c r="K8" i="25" s="1"/>
  <c r="L5" i="22"/>
  <c r="K6" i="22"/>
  <c r="M5" i="22"/>
  <c r="N11" i="22"/>
  <c r="I8" i="23" s="1"/>
  <c r="L7" i="21"/>
  <c r="N7" i="21"/>
  <c r="E7" i="23" s="1"/>
  <c r="N13" i="21"/>
  <c r="K7" i="23" s="1"/>
  <c r="K11" i="18"/>
  <c r="J11" i="18"/>
  <c r="H8" i="27"/>
  <c r="L8" i="27" s="1"/>
  <c r="L4" i="18"/>
  <c r="J4" i="18"/>
  <c r="K4" i="18"/>
  <c r="M11" i="18"/>
  <c r="I8" i="19"/>
  <c r="J8" i="18"/>
  <c r="N9" i="18"/>
  <c r="O9" i="18" s="1"/>
  <c r="D8" i="19"/>
  <c r="F8" i="19"/>
  <c r="N5" i="10"/>
  <c r="C8" i="15" s="1"/>
  <c r="K5" i="10"/>
  <c r="J5" i="10"/>
  <c r="L5" i="10"/>
  <c r="I7" i="27"/>
  <c r="N9" i="10"/>
  <c r="K9" i="10"/>
  <c r="M9" i="10"/>
  <c r="K10" i="10"/>
  <c r="J8" i="10"/>
  <c r="L7" i="10"/>
  <c r="K8" i="10"/>
  <c r="K13" i="17"/>
  <c r="J13" i="17"/>
  <c r="N13" i="17"/>
  <c r="K7" i="19" s="1"/>
  <c r="L12" i="17"/>
  <c r="K12" i="17"/>
  <c r="K10" i="17"/>
  <c r="L10" i="17"/>
  <c r="N10" i="17"/>
  <c r="H7" i="19" s="1"/>
  <c r="M10" i="17"/>
  <c r="L7" i="17"/>
  <c r="J7" i="17"/>
  <c r="N5" i="17"/>
  <c r="C7" i="19" s="1"/>
  <c r="I6" i="27"/>
  <c r="K6" i="10"/>
  <c r="J6" i="10"/>
  <c r="J4" i="10"/>
  <c r="I6" i="26"/>
  <c r="K4" i="17"/>
  <c r="N7" i="17"/>
  <c r="E7" i="19" s="1"/>
  <c r="N4" i="17"/>
  <c r="B7" i="19" s="1"/>
  <c r="L13" i="17"/>
  <c r="H9" i="26"/>
  <c r="K9" i="26" s="1"/>
  <c r="M8" i="17"/>
  <c r="N8" i="17"/>
  <c r="O8" i="17" s="1"/>
  <c r="J8" i="17"/>
  <c r="L8" i="17"/>
  <c r="K7" i="17"/>
  <c r="D7" i="19"/>
  <c r="O6" i="17"/>
  <c r="K5" i="17"/>
  <c r="L5" i="17"/>
  <c r="M5" i="17"/>
  <c r="N13" i="9"/>
  <c r="K7" i="15" s="1"/>
  <c r="K8" i="9"/>
  <c r="H8" i="26"/>
  <c r="K8" i="26" s="1"/>
  <c r="M8" i="9"/>
  <c r="N8" i="9"/>
  <c r="O8" i="9" s="1"/>
  <c r="L8" i="9"/>
  <c r="N5" i="9"/>
  <c r="C7" i="15" s="1"/>
  <c r="L5" i="9"/>
  <c r="K5" i="9"/>
  <c r="K10" i="9"/>
  <c r="N4" i="10"/>
  <c r="B8" i="15" s="1"/>
  <c r="D8" i="23"/>
  <c r="K10" i="22"/>
  <c r="I12" i="27"/>
  <c r="N7" i="22"/>
  <c r="E8" i="23" s="1"/>
  <c r="N5" i="22"/>
  <c r="C8" i="23" s="1"/>
  <c r="H7" i="27"/>
  <c r="M7" i="27" s="1"/>
  <c r="L7" i="22"/>
  <c r="J5" i="22"/>
  <c r="I11" i="27"/>
  <c r="H10" i="27"/>
  <c r="J10" i="27" s="1"/>
  <c r="M10" i="22"/>
  <c r="M7" i="22"/>
  <c r="F7" i="23"/>
  <c r="I7" i="23"/>
  <c r="K9" i="21"/>
  <c r="I9" i="26"/>
  <c r="L5" i="21"/>
  <c r="M12" i="21"/>
  <c r="J9" i="21"/>
  <c r="N12" i="21"/>
  <c r="K5" i="21"/>
  <c r="L12" i="21"/>
  <c r="L9" i="21"/>
  <c r="J13" i="21"/>
  <c r="K4" i="21"/>
  <c r="M5" i="21"/>
  <c r="N6" i="21"/>
  <c r="I4" i="27"/>
  <c r="H9" i="27"/>
  <c r="L9" i="27" s="1"/>
  <c r="L10" i="18"/>
  <c r="I8" i="27"/>
  <c r="J10" i="18"/>
  <c r="L9" i="18"/>
  <c r="N4" i="18"/>
  <c r="O4" i="18" s="1"/>
  <c r="H11" i="27"/>
  <c r="L11" i="27" s="1"/>
  <c r="K5" i="18"/>
  <c r="L8" i="18"/>
  <c r="N13" i="18"/>
  <c r="K8" i="19" s="1"/>
  <c r="N7" i="18"/>
  <c r="E8" i="19" s="1"/>
  <c r="L5" i="18"/>
  <c r="K10" i="18"/>
  <c r="N5" i="18"/>
  <c r="C8" i="19" s="1"/>
  <c r="J12" i="17"/>
  <c r="K9" i="17"/>
  <c r="J9" i="17"/>
  <c r="N9" i="17"/>
  <c r="I7" i="26"/>
  <c r="L9" i="17"/>
  <c r="H5" i="26"/>
  <c r="K5" i="26" s="1"/>
  <c r="N6" i="10"/>
  <c r="M8" i="10"/>
  <c r="M6" i="10"/>
  <c r="I5" i="27"/>
  <c r="M4" i="10"/>
  <c r="L10" i="10"/>
  <c r="H4" i="27"/>
  <c r="J4" i="27" s="1"/>
  <c r="H12" i="27"/>
  <c r="L12" i="27" s="1"/>
  <c r="N8" i="10"/>
  <c r="F8" i="15" s="1"/>
  <c r="N10" i="10"/>
  <c r="H8" i="15" s="1"/>
  <c r="K4" i="10"/>
  <c r="N13" i="10"/>
  <c r="K8" i="15" s="1"/>
  <c r="L7" i="9"/>
  <c r="H11" i="26"/>
  <c r="J11" i="26" s="1"/>
  <c r="M12" i="9"/>
  <c r="J9" i="9"/>
  <c r="H6" i="26"/>
  <c r="K6" i="26" s="1"/>
  <c r="H10" i="26"/>
  <c r="K10" i="26" s="1"/>
  <c r="K11" i="9"/>
  <c r="I5" i="26"/>
  <c r="I12" i="26"/>
  <c r="J11" i="9"/>
  <c r="L13" i="9"/>
  <c r="N11" i="9"/>
  <c r="O11" i="9" s="1"/>
  <c r="I8" i="26"/>
  <c r="I13" i="26"/>
  <c r="I4" i="26"/>
  <c r="H7" i="26"/>
  <c r="M10" i="9"/>
  <c r="J13" i="9"/>
  <c r="J6" i="9"/>
  <c r="N10" i="9"/>
  <c r="H7" i="15" s="1"/>
  <c r="M13" i="9"/>
  <c r="N9" i="9"/>
  <c r="M7" i="9"/>
  <c r="J7" i="9"/>
  <c r="H12" i="26"/>
  <c r="M12" i="26" s="1"/>
  <c r="H13" i="26"/>
  <c r="J13" i="26" s="1"/>
  <c r="N7" i="9"/>
  <c r="E7" i="15" s="1"/>
  <c r="I10" i="26"/>
  <c r="H4" i="26"/>
  <c r="L4" i="26" s="1"/>
  <c r="K6" i="9"/>
  <c r="N6" i="9"/>
  <c r="L6" i="9"/>
  <c r="J5" i="9"/>
  <c r="N4" i="9"/>
  <c r="J4" i="9"/>
  <c r="K12" i="9"/>
  <c r="L11" i="9"/>
  <c r="K4" i="9"/>
  <c r="L4" i="9"/>
  <c r="I11" i="26"/>
  <c r="L12" i="9"/>
  <c r="N12" i="9"/>
  <c r="I8" i="15"/>
  <c r="O11" i="10"/>
  <c r="J8" i="15"/>
  <c r="G8" i="19"/>
  <c r="G7" i="23"/>
  <c r="L10" i="9"/>
  <c r="K11" i="10"/>
  <c r="M13" i="21"/>
  <c r="M4" i="21"/>
  <c r="L8" i="22"/>
  <c r="M4" i="22"/>
  <c r="J10" i="21"/>
  <c r="K13" i="21"/>
  <c r="K6" i="17"/>
  <c r="O12" i="18"/>
  <c r="K8" i="22"/>
  <c r="M11" i="10"/>
  <c r="M6" i="21"/>
  <c r="L11" i="10"/>
  <c r="N7" i="10"/>
  <c r="E8" i="15" s="1"/>
  <c r="M12" i="10"/>
  <c r="N4" i="22"/>
  <c r="L13" i="18"/>
  <c r="L10" i="22"/>
  <c r="L12" i="10"/>
  <c r="M6" i="17"/>
  <c r="M11" i="17"/>
  <c r="N11" i="17"/>
  <c r="J6" i="21"/>
  <c r="L4" i="21"/>
  <c r="L9" i="9"/>
  <c r="K12" i="10"/>
  <c r="L6" i="17"/>
  <c r="J11" i="17"/>
  <c r="K12" i="18"/>
  <c r="M10" i="21"/>
  <c r="K9" i="9"/>
  <c r="J9" i="10"/>
  <c r="J4" i="17"/>
  <c r="M13" i="18"/>
  <c r="K6" i="21"/>
  <c r="L13" i="21"/>
  <c r="J4" i="22"/>
  <c r="N4" i="21"/>
  <c r="L4" i="22"/>
  <c r="J12" i="10"/>
  <c r="L11" i="17"/>
  <c r="L10" i="21"/>
  <c r="J11" i="10"/>
  <c r="J13" i="18"/>
  <c r="L6" i="21"/>
  <c r="K10" i="21"/>
  <c r="L4" i="17"/>
  <c r="J5" i="27" l="1"/>
  <c r="L5" i="27"/>
  <c r="N5" i="27"/>
  <c r="C8" i="25" s="1"/>
  <c r="K5" i="27"/>
  <c r="J13" i="27"/>
  <c r="K13" i="27"/>
  <c r="M13" i="27"/>
  <c r="O12" i="22"/>
  <c r="O9" i="22"/>
  <c r="O6" i="22"/>
  <c r="O12" i="21"/>
  <c r="O6" i="21"/>
  <c r="K13" i="10"/>
  <c r="J13" i="10"/>
  <c r="M13" i="10"/>
  <c r="O12" i="10"/>
  <c r="J6" i="27"/>
  <c r="L6" i="27"/>
  <c r="K6" i="27"/>
  <c r="O4" i="10"/>
  <c r="O9" i="10"/>
  <c r="G8" i="15"/>
  <c r="N9" i="27"/>
  <c r="G8" i="25" s="1"/>
  <c r="J9" i="27"/>
  <c r="N6" i="27"/>
  <c r="D8" i="25" s="1"/>
  <c r="O12" i="17"/>
  <c r="F7" i="15"/>
  <c r="M8" i="27"/>
  <c r="N8" i="27"/>
  <c r="O8" i="27" s="1"/>
  <c r="F8" i="23"/>
  <c r="O11" i="22"/>
  <c r="K9" i="27"/>
  <c r="J8" i="27"/>
  <c r="K8" i="27"/>
  <c r="L10" i="27"/>
  <c r="N10" i="27"/>
  <c r="H8" i="25" s="1"/>
  <c r="F8" i="25"/>
  <c r="K7" i="27"/>
  <c r="N12" i="27"/>
  <c r="J8" i="25" s="1"/>
  <c r="N7" i="27"/>
  <c r="E8" i="25" s="1"/>
  <c r="M11" i="27"/>
  <c r="L7" i="27"/>
  <c r="J7" i="27"/>
  <c r="M9" i="26"/>
  <c r="L9" i="26"/>
  <c r="J9" i="26"/>
  <c r="O4" i="17"/>
  <c r="N9" i="26"/>
  <c r="G7" i="25" s="1"/>
  <c r="F7" i="19"/>
  <c r="O9" i="9"/>
  <c r="O12" i="9"/>
  <c r="L8" i="26"/>
  <c r="J8" i="26"/>
  <c r="M8" i="26"/>
  <c r="N8" i="26"/>
  <c r="O8" i="26" s="1"/>
  <c r="J12" i="26"/>
  <c r="O6" i="9"/>
  <c r="M10" i="27"/>
  <c r="K10" i="27"/>
  <c r="K12" i="27"/>
  <c r="D7" i="23"/>
  <c r="M5" i="26"/>
  <c r="J7" i="23"/>
  <c r="L6" i="26"/>
  <c r="B8" i="19"/>
  <c r="J11" i="27"/>
  <c r="M9" i="27"/>
  <c r="N11" i="27"/>
  <c r="K11" i="27"/>
  <c r="J5" i="26"/>
  <c r="L5" i="26"/>
  <c r="N5" i="26"/>
  <c r="C7" i="25" s="1"/>
  <c r="G7" i="19"/>
  <c r="O9" i="17"/>
  <c r="J6" i="26"/>
  <c r="M11" i="26"/>
  <c r="N4" i="27"/>
  <c r="K4" i="27"/>
  <c r="J12" i="27"/>
  <c r="M12" i="27"/>
  <c r="O8" i="10"/>
  <c r="L4" i="27"/>
  <c r="D8" i="15"/>
  <c r="O6" i="10"/>
  <c r="M4" i="27"/>
  <c r="K13" i="26"/>
  <c r="J10" i="26"/>
  <c r="M6" i="26"/>
  <c r="N6" i="26"/>
  <c r="L11" i="26"/>
  <c r="K11" i="26"/>
  <c r="N11" i="26"/>
  <c r="O11" i="26" s="1"/>
  <c r="N10" i="26"/>
  <c r="H7" i="25" s="1"/>
  <c r="M10" i="26"/>
  <c r="L10" i="26"/>
  <c r="I7" i="15"/>
  <c r="M13" i="26"/>
  <c r="L13" i="26"/>
  <c r="K4" i="26"/>
  <c r="N13" i="26"/>
  <c r="K7" i="25" s="1"/>
  <c r="D7" i="15"/>
  <c r="L7" i="26"/>
  <c r="M7" i="26"/>
  <c r="K7" i="26"/>
  <c r="J7" i="26"/>
  <c r="G7" i="15"/>
  <c r="J4" i="26"/>
  <c r="N7" i="26"/>
  <c r="E7" i="25" s="1"/>
  <c r="O4" i="9"/>
  <c r="B7" i="15"/>
  <c r="M4" i="26"/>
  <c r="K12" i="26"/>
  <c r="L12" i="26"/>
  <c r="J7" i="15"/>
  <c r="N4" i="26"/>
  <c r="N12" i="26"/>
  <c r="O4" i="22"/>
  <c r="B8" i="23"/>
  <c r="O4" i="21"/>
  <c r="B7" i="23"/>
  <c r="I7" i="19"/>
  <c r="O11" i="17"/>
  <c r="O12" i="27" l="1"/>
  <c r="O9" i="27"/>
  <c r="O6" i="27"/>
  <c r="F7" i="25"/>
  <c r="I7" i="25"/>
  <c r="O9" i="26"/>
  <c r="O6" i="26"/>
  <c r="I8" i="25"/>
  <c r="O11" i="27"/>
  <c r="D7" i="25"/>
  <c r="B8" i="25"/>
  <c r="O4" i="27"/>
  <c r="J7" i="25"/>
  <c r="O12" i="26"/>
  <c r="B7" i="25"/>
  <c r="O4" i="26"/>
</calcChain>
</file>

<file path=xl/sharedStrings.xml><?xml version="1.0" encoding="utf-8"?>
<sst xmlns="http://schemas.openxmlformats.org/spreadsheetml/2006/main" count="327" uniqueCount="76">
  <si>
    <t>自尊感情</t>
    <rPh sb="0" eb="2">
      <t>ジソン</t>
    </rPh>
    <rPh sb="2" eb="4">
      <t>カンジョウ</t>
    </rPh>
    <phoneticPr fontId="2"/>
  </si>
  <si>
    <t>N0</t>
    <phoneticPr fontId="2"/>
  </si>
  <si>
    <t>そう思う
（できている）</t>
    <rPh sb="2" eb="3">
      <t>オモ</t>
    </rPh>
    <phoneticPr fontId="2"/>
  </si>
  <si>
    <t>どちらかといえば
そう思う
（できている）</t>
    <rPh sb="11" eb="12">
      <t>オモ</t>
    </rPh>
    <phoneticPr fontId="2"/>
  </si>
  <si>
    <t>どちらかといえば
そう思わない
（できていない）</t>
    <rPh sb="11" eb="12">
      <t>オモ</t>
    </rPh>
    <phoneticPr fontId="2"/>
  </si>
  <si>
    <t>そう思わない
（できていない）</t>
    <rPh sb="2" eb="3">
      <t>オモ</t>
    </rPh>
    <phoneticPr fontId="2"/>
  </si>
  <si>
    <t>合計</t>
    <rPh sb="0" eb="2">
      <t>ゴウケイ</t>
    </rPh>
    <phoneticPr fontId="2"/>
  </si>
  <si>
    <t>肯定的意見</t>
    <rPh sb="0" eb="3">
      <t>コウテイテキ</t>
    </rPh>
    <rPh sb="3" eb="5">
      <t>イケン</t>
    </rPh>
    <phoneticPr fontId="2"/>
  </si>
  <si>
    <t>割合</t>
    <rPh sb="0" eb="2">
      <t>ワリアイ</t>
    </rPh>
    <phoneticPr fontId="2"/>
  </si>
  <si>
    <t>年度当初</t>
    <rPh sb="0" eb="2">
      <t>ネンド</t>
    </rPh>
    <rPh sb="2" eb="4">
      <t>トウショ</t>
    </rPh>
    <phoneticPr fontId="2"/>
  </si>
  <si>
    <t>年度末</t>
    <rPh sb="0" eb="2">
      <t>ネンド</t>
    </rPh>
    <rPh sb="2" eb="3">
      <t>マツ</t>
    </rPh>
    <phoneticPr fontId="2"/>
  </si>
  <si>
    <t>学校名</t>
    <rPh sb="0" eb="3">
      <t>ガッコウメイ</t>
    </rPh>
    <phoneticPr fontId="2"/>
  </si>
  <si>
    <t>年度末</t>
    <rPh sb="0" eb="3">
      <t>ネンドマツ</t>
    </rPh>
    <phoneticPr fontId="2"/>
  </si>
  <si>
    <t>＜分析・考察＞</t>
    <rPh sb="1" eb="3">
      <t>ブンセキ</t>
    </rPh>
    <rPh sb="4" eb="6">
      <t>コウサツ</t>
    </rPh>
    <phoneticPr fontId="2"/>
  </si>
  <si>
    <t>＜改善＞</t>
    <rPh sb="1" eb="3">
      <t>カイゼン</t>
    </rPh>
    <phoneticPr fontId="2"/>
  </si>
  <si>
    <t>回答児童生徒数</t>
    <rPh sb="0" eb="2">
      <t>カイトウ</t>
    </rPh>
    <rPh sb="2" eb="4">
      <t>ジドウ</t>
    </rPh>
    <rPh sb="4" eb="6">
      <t>セイト</t>
    </rPh>
    <rPh sb="6" eb="7">
      <t>カズ</t>
    </rPh>
    <phoneticPr fontId="2"/>
  </si>
  <si>
    <t>回答児童生徒数</t>
    <rPh sb="0" eb="2">
      <t>カイトウ</t>
    </rPh>
    <rPh sb="2" eb="4">
      <t>ジドウ</t>
    </rPh>
    <rPh sb="4" eb="6">
      <t>セイト</t>
    </rPh>
    <rPh sb="6" eb="7">
      <t>スウ</t>
    </rPh>
    <phoneticPr fontId="2"/>
  </si>
  <si>
    <t>人</t>
    <rPh sb="0" eb="1">
      <t>ニン</t>
    </rPh>
    <phoneticPr fontId="2"/>
  </si>
  <si>
    <t>肯定的意見　％（小数第1位まで）</t>
    <rPh sb="0" eb="3">
      <t>コウテイテキ</t>
    </rPh>
    <rPh sb="3" eb="5">
      <t>イケン</t>
    </rPh>
    <rPh sb="8" eb="10">
      <t>ショウスウ</t>
    </rPh>
    <rPh sb="10" eb="11">
      <t>ダイ</t>
    </rPh>
    <rPh sb="12" eb="13">
      <t>イ</t>
    </rPh>
    <phoneticPr fontId="2"/>
  </si>
  <si>
    <t>だいたい
そう思う
（できている）</t>
    <rPh sb="7" eb="8">
      <t>オモ</t>
    </rPh>
    <phoneticPr fontId="2"/>
  </si>
  <si>
    <t>あまり
そう思わない
（できていない）</t>
    <rPh sb="6" eb="7">
      <t>オモ</t>
    </rPh>
    <phoneticPr fontId="2"/>
  </si>
  <si>
    <t>年度
当初</t>
    <rPh sb="0" eb="2">
      <t>ネンド</t>
    </rPh>
    <rPh sb="3" eb="5">
      <t>トウショ</t>
    </rPh>
    <phoneticPr fontId="2"/>
  </si>
  <si>
    <t>年度
末</t>
    <rPh sb="0" eb="2">
      <t>ネンド</t>
    </rPh>
    <rPh sb="3" eb="4">
      <t>マツ</t>
    </rPh>
    <phoneticPr fontId="2"/>
  </si>
  <si>
    <t>道徳意識調査総括票（小学校１・２年生用）</t>
    <rPh sb="0" eb="2">
      <t>ドウトク</t>
    </rPh>
    <rPh sb="2" eb="4">
      <t>イシキ</t>
    </rPh>
    <rPh sb="4" eb="6">
      <t>チョウサ</t>
    </rPh>
    <rPh sb="6" eb="8">
      <t>ソウカツ</t>
    </rPh>
    <rPh sb="8" eb="9">
      <t>ヒョウ</t>
    </rPh>
    <rPh sb="10" eb="11">
      <t>ショウ</t>
    </rPh>
    <rPh sb="11" eb="13">
      <t>ガッコウ</t>
    </rPh>
    <rPh sb="16" eb="18">
      <t>ネンセイ</t>
    </rPh>
    <rPh sb="18" eb="19">
      <t>ヨウ</t>
    </rPh>
    <phoneticPr fontId="2"/>
  </si>
  <si>
    <t>質　問　項　目</t>
    <rPh sb="0" eb="7">
      <t>しつ　もん　　こう　　もく</t>
    </rPh>
    <phoneticPr fontId="2" type="Hiragana" alignment="center"/>
  </si>
  <si>
    <t>人の気もちがわかるにんげんになりたいと思う。</t>
    <rPh sb="0" eb="1">
      <t>ひと</t>
    </rPh>
    <rPh sb="2" eb="3">
      <t>き</t>
    </rPh>
    <phoneticPr fontId="2" type="Hiragana" alignment="center"/>
  </si>
  <si>
    <t>月　　　日</t>
    <rPh sb="0" eb="1">
      <t>がつ</t>
    </rPh>
    <rPh sb="4" eb="5">
      <t>にち</t>
    </rPh>
    <phoneticPr fontId="2" type="Hiragana" alignment="center"/>
  </si>
  <si>
    <t>（　　　　）年（　　　　）組　</t>
    <rPh sb="6" eb="7">
      <t>ねん</t>
    </rPh>
    <rPh sb="13" eb="14">
      <t>くみ</t>
    </rPh>
    <phoneticPr fontId="2" type="Hiragana" alignment="center"/>
  </si>
  <si>
    <t>名前：</t>
    <rPh sb="0" eb="2">
      <t>なまえ</t>
    </rPh>
    <phoneticPr fontId="2" type="Hiragana" alignment="center"/>
  </si>
  <si>
    <t>　参考：全国・学力学習状況調査（児童生徒質問紙）・「道徳教育実践研究事業」（文部科学省）における児童生徒の意識調査</t>
    <rPh sb="1" eb="3">
      <t>サンコウ</t>
    </rPh>
    <rPh sb="4" eb="6">
      <t>ゼンコク</t>
    </rPh>
    <rPh sb="7" eb="9">
      <t>ガクリョク</t>
    </rPh>
    <rPh sb="9" eb="11">
      <t>ガクシュウ</t>
    </rPh>
    <rPh sb="11" eb="13">
      <t>ジョウキョウ</t>
    </rPh>
    <rPh sb="13" eb="15">
      <t>チョウサ</t>
    </rPh>
    <rPh sb="16" eb="18">
      <t>ジドウ</t>
    </rPh>
    <rPh sb="18" eb="20">
      <t>セイト</t>
    </rPh>
    <rPh sb="20" eb="22">
      <t>シツモン</t>
    </rPh>
    <rPh sb="22" eb="23">
      <t>シ</t>
    </rPh>
    <rPh sb="26" eb="28">
      <t>ドウトク</t>
    </rPh>
    <rPh sb="28" eb="30">
      <t>キョウイク</t>
    </rPh>
    <rPh sb="30" eb="32">
      <t>ジッセン</t>
    </rPh>
    <rPh sb="32" eb="34">
      <t>ケンキュウ</t>
    </rPh>
    <rPh sb="34" eb="36">
      <t>ジギョウ</t>
    </rPh>
    <rPh sb="38" eb="40">
      <t>モンブ</t>
    </rPh>
    <rPh sb="40" eb="43">
      <t>カガクショウ</t>
    </rPh>
    <rPh sb="48" eb="50">
      <t>ジドウ</t>
    </rPh>
    <rPh sb="50" eb="52">
      <t>セイト</t>
    </rPh>
    <rPh sb="53" eb="55">
      <t>イシキ</t>
    </rPh>
    <rPh sb="55" eb="57">
      <t>チョウサ</t>
    </rPh>
    <phoneticPr fontId="2"/>
  </si>
  <si>
    <t>領域別
肯定的意見平均</t>
    <rPh sb="0" eb="2">
      <t>リョウイキ</t>
    </rPh>
    <rPh sb="2" eb="3">
      <t>ベツ</t>
    </rPh>
    <rPh sb="4" eb="7">
      <t>コウテイテキ</t>
    </rPh>
    <rPh sb="7" eb="9">
      <t>イケン</t>
    </rPh>
    <rPh sb="9" eb="11">
      <t>ヘイキン</t>
    </rPh>
    <phoneticPr fontId="2"/>
  </si>
  <si>
    <t>人数</t>
    <rPh sb="0" eb="2">
      <t>ニンズウ</t>
    </rPh>
    <phoneticPr fontId="2"/>
  </si>
  <si>
    <t>　次のことについて、あてはまる番号に○をつけてください。</t>
    <rPh sb="1" eb="2">
      <t>つぎ</t>
    </rPh>
    <rPh sb="15" eb="17">
      <t>ばんごう</t>
    </rPh>
    <phoneticPr fontId="2" type="Hiragana" alignment="center"/>
  </si>
  <si>
    <t>自分には、よいところがあると思う。</t>
    <rPh sb="0" eb="2">
      <t>ジブン</t>
    </rPh>
    <rPh sb="14" eb="15">
      <t>オモ</t>
    </rPh>
    <phoneticPr fontId="2"/>
  </si>
  <si>
    <t>N0</t>
    <phoneticPr fontId="2"/>
  </si>
  <si>
    <t>名前：</t>
    <rPh sb="0" eb="2">
      <t>ナマエ</t>
    </rPh>
    <phoneticPr fontId="2"/>
  </si>
  <si>
    <t>（　　　　）年（　　　　）組　</t>
    <rPh sb="6" eb="7">
      <t>ネン</t>
    </rPh>
    <rPh sb="13" eb="14">
      <t>クミ</t>
    </rPh>
    <phoneticPr fontId="2"/>
  </si>
  <si>
    <t>月　　　日</t>
    <rPh sb="0" eb="1">
      <t>ガツ</t>
    </rPh>
    <rPh sb="4" eb="5">
      <t>ニチ</t>
    </rPh>
    <phoneticPr fontId="2"/>
  </si>
  <si>
    <t>道徳意識調査総括票（小学校３・４年生用）</t>
    <rPh sb="0" eb="2">
      <t>ドウトク</t>
    </rPh>
    <rPh sb="2" eb="4">
      <t>イシキ</t>
    </rPh>
    <rPh sb="4" eb="6">
      <t>チョウサ</t>
    </rPh>
    <rPh sb="6" eb="8">
      <t>ソウカツ</t>
    </rPh>
    <rPh sb="8" eb="9">
      <t>ヒョウ</t>
    </rPh>
    <rPh sb="10" eb="13">
      <t>ショウガッコウ</t>
    </rPh>
    <rPh sb="16" eb="18">
      <t>ネンセイ</t>
    </rPh>
    <rPh sb="18" eb="19">
      <t>ヨウ</t>
    </rPh>
    <phoneticPr fontId="2"/>
  </si>
  <si>
    <t>道徳意識調査総括票（小学校５・６年生用）</t>
    <rPh sb="0" eb="2">
      <t>ドウトク</t>
    </rPh>
    <rPh sb="2" eb="4">
      <t>イシキ</t>
    </rPh>
    <rPh sb="4" eb="6">
      <t>チョウサ</t>
    </rPh>
    <rPh sb="6" eb="8">
      <t>ソウカツ</t>
    </rPh>
    <rPh sb="8" eb="9">
      <t>ヒョウ</t>
    </rPh>
    <rPh sb="10" eb="13">
      <t>ショウガッコウ</t>
    </rPh>
    <rPh sb="16" eb="18">
      <t>ネンセイ</t>
    </rPh>
    <rPh sb="18" eb="19">
      <t>ヨウ</t>
    </rPh>
    <phoneticPr fontId="2"/>
  </si>
  <si>
    <t>道徳意識調査（小学生用）合計</t>
    <rPh sb="0" eb="2">
      <t>ドウトク</t>
    </rPh>
    <rPh sb="2" eb="4">
      <t>イシキ</t>
    </rPh>
    <rPh sb="4" eb="6">
      <t>チョウサ</t>
    </rPh>
    <rPh sb="7" eb="10">
      <t>ショウガクセイ</t>
    </rPh>
    <rPh sb="10" eb="11">
      <t>ヨウ</t>
    </rPh>
    <rPh sb="12" eb="14">
      <t>ゴウケイ</t>
    </rPh>
    <phoneticPr fontId="2"/>
  </si>
  <si>
    <t>【小学生用】道徳意識調査総括票</t>
    <rPh sb="1" eb="5">
      <t>ショウガクセイヨウ</t>
    </rPh>
    <rPh sb="6" eb="8">
      <t>ドウトク</t>
    </rPh>
    <rPh sb="8" eb="10">
      <t>イシキ</t>
    </rPh>
    <rPh sb="10" eb="12">
      <t>チョウサ</t>
    </rPh>
    <rPh sb="12" eb="14">
      <t>ソウカツ</t>
    </rPh>
    <rPh sb="14" eb="15">
      <t>ヒョウ</t>
    </rPh>
    <phoneticPr fontId="2"/>
  </si>
  <si>
    <t>どうとくのべんきょうは、すきだ。</t>
    <phoneticPr fontId="2" type="Hiragana"/>
  </si>
  <si>
    <t>どうとくのじゅぎょうでは、じぶんのかんがえをつたえたり、ほかの人のかんがえをきいたりしながら、じぶんのことについてよくかんがえている。</t>
    <phoneticPr fontId="2"/>
  </si>
  <si>
    <t>がんばってやって、うれしかったことがある。</t>
    <phoneticPr fontId="2"/>
  </si>
  <si>
    <t>じぶんには、よいところがあると思う。</t>
    <rPh sb="15" eb="16">
      <t>おも</t>
    </rPh>
    <phoneticPr fontId="2" type="Hiragana"/>
  </si>
  <si>
    <t>がんばりたいことやもくひょうをもっている。</t>
    <phoneticPr fontId="2"/>
  </si>
  <si>
    <t>いじめはどんなりゆうがあっても、いけないことだと思う。</t>
    <rPh sb="24" eb="25">
      <t>おも</t>
    </rPh>
    <phoneticPr fontId="2" type="Hiragana"/>
  </si>
  <si>
    <t>道徳の勉強は、すきだ。</t>
    <rPh sb="0" eb="2">
      <t>どうとく</t>
    </rPh>
    <rPh sb="3" eb="5">
      <t>べんきょう</t>
    </rPh>
    <phoneticPr fontId="2" type="Hiragana"/>
  </si>
  <si>
    <t>道徳のじゅぎょうでは、自分の考えを伝えたり、ほかの人の考えを聞いたりしながら、自分のことについてよく考えている。</t>
    <rPh sb="0" eb="2">
      <t>どうとく</t>
    </rPh>
    <rPh sb="17" eb="18">
      <t>つた</t>
    </rPh>
    <phoneticPr fontId="2" type="Hiragana"/>
  </si>
  <si>
    <t>ものごとをさいごまでがんばってやって、うれしかったことがある。</t>
    <phoneticPr fontId="2" type="Hiragana"/>
  </si>
  <si>
    <t>がんばりたいことや目標をもっている。</t>
    <rPh sb="9" eb="11">
      <t>もくひょう</t>
    </rPh>
    <phoneticPr fontId="2" type="Hiragana"/>
  </si>
  <si>
    <t>人の気もちがわかる人間になりたいと思う。</t>
    <rPh sb="9" eb="11">
      <t>にんげん</t>
    </rPh>
    <phoneticPr fontId="2" type="Hiragana" alignment="center"/>
  </si>
  <si>
    <t>いじめはどんな理由があっても、いけないことだと思う。</t>
    <rPh sb="7" eb="9">
      <t>りゆう</t>
    </rPh>
    <phoneticPr fontId="2" type="Hiragana"/>
  </si>
  <si>
    <t>道徳の勉強は、すきだ。</t>
    <rPh sb="0" eb="2">
      <t>どうとく</t>
    </rPh>
    <phoneticPr fontId="2" type="Hiragana"/>
  </si>
  <si>
    <t>道徳の授業では、自分の考えを伝えたり、ほかの人の考えを聞いたりしながら、自分のこと（生き方）についてよく考えている。</t>
    <rPh sb="3" eb="5">
      <t>じゅぎょう</t>
    </rPh>
    <rPh sb="14" eb="15">
      <t>つた</t>
    </rPh>
    <phoneticPr fontId="2" type="Hiragana"/>
  </si>
  <si>
    <t>ものごとを最後までやりとげて、うれしかったことがある。</t>
    <rPh sb="5" eb="7">
      <t>さいご</t>
    </rPh>
    <phoneticPr fontId="2" type="Hiragana"/>
  </si>
  <si>
    <t>将来の夢や目標をもっている。</t>
    <rPh sb="0" eb="2">
      <t>しょうらい</t>
    </rPh>
    <rPh sb="3" eb="4">
      <t>ゆめ</t>
    </rPh>
    <rPh sb="5" eb="7">
      <t>もくひょう</t>
    </rPh>
    <phoneticPr fontId="2" type="Hiragana"/>
  </si>
  <si>
    <t>夢・志</t>
    <rPh sb="0" eb="1">
      <t>ユメ</t>
    </rPh>
    <rPh sb="2" eb="3">
      <t>ココロザシ</t>
    </rPh>
    <phoneticPr fontId="2"/>
  </si>
  <si>
    <t>人間関係</t>
    <phoneticPr fontId="2"/>
  </si>
  <si>
    <t>規範意識</t>
    <phoneticPr fontId="2"/>
  </si>
  <si>
    <t>がっこうのきまりをまもっている。</t>
    <phoneticPr fontId="2" type="Hiragana" alignment="center"/>
  </si>
  <si>
    <t>ともだちやかぞくのやくに立ちたいと思う。</t>
    <phoneticPr fontId="2"/>
  </si>
  <si>
    <t>じぶんのすんでいるちいきがすきだ。</t>
    <phoneticPr fontId="2" type="Hiragana"/>
  </si>
  <si>
    <t>学校のきまりを守っている。</t>
    <phoneticPr fontId="2"/>
  </si>
  <si>
    <t>自分のすんでいる町や地いきのために何かしたいと思う。</t>
    <phoneticPr fontId="2"/>
  </si>
  <si>
    <t>自分のすんでいる町が好きだ。</t>
    <rPh sb="10" eb="11">
      <t>す</t>
    </rPh>
    <phoneticPr fontId="2" type="Hiragana"/>
  </si>
  <si>
    <t>学校のきまりを守っている。</t>
    <phoneticPr fontId="2"/>
  </si>
  <si>
    <t>地域や社会をよくするために何をすべきかを考えることがある。</t>
    <phoneticPr fontId="2"/>
  </si>
  <si>
    <t>高知県がすきだ。</t>
    <rPh sb="0" eb="3">
      <t>こうちけん</t>
    </rPh>
    <phoneticPr fontId="2" type="Hiragana" alignment="distributed"/>
  </si>
  <si>
    <t>社会貢献・郷土愛</t>
    <rPh sb="0" eb="2">
      <t>シャカイ</t>
    </rPh>
    <rPh sb="2" eb="4">
      <t>コウケン</t>
    </rPh>
    <rPh sb="5" eb="7">
      <t>キョウド</t>
    </rPh>
    <rPh sb="7" eb="8">
      <t>アイ</t>
    </rPh>
    <phoneticPr fontId="2"/>
  </si>
  <si>
    <t>道徳の時間</t>
    <rPh sb="0" eb="2">
      <t>ドウトク</t>
    </rPh>
    <rPh sb="3" eb="5">
      <t>ジカン</t>
    </rPh>
    <phoneticPr fontId="2"/>
  </si>
  <si>
    <t>道徳意識調査　（小学校１・２年生用）</t>
    <rPh sb="0" eb="2">
      <t>ドウトク</t>
    </rPh>
    <rPh sb="2" eb="4">
      <t>イシキ</t>
    </rPh>
    <rPh sb="4" eb="6">
      <t>チョウサ</t>
    </rPh>
    <rPh sb="8" eb="11">
      <t>ショウガッコウ</t>
    </rPh>
    <rPh sb="14" eb="15">
      <t>ネン</t>
    </rPh>
    <rPh sb="16" eb="17">
      <t>ヨウ</t>
    </rPh>
    <phoneticPr fontId="2"/>
  </si>
  <si>
    <t>道徳意識調査　（小学校３・４年生用）</t>
    <rPh sb="0" eb="2">
      <t>ドウトク</t>
    </rPh>
    <rPh sb="2" eb="4">
      <t>イシキ</t>
    </rPh>
    <rPh sb="4" eb="6">
      <t>チョウサ</t>
    </rPh>
    <rPh sb="8" eb="11">
      <t>ショウガッコウ</t>
    </rPh>
    <rPh sb="14" eb="15">
      <t>ネン</t>
    </rPh>
    <rPh sb="16" eb="17">
      <t>ヨウ</t>
    </rPh>
    <phoneticPr fontId="2"/>
  </si>
  <si>
    <t>道徳意識調査　（小学校５・６年生用）</t>
    <rPh sb="0" eb="2">
      <t>ドウトク</t>
    </rPh>
    <rPh sb="2" eb="4">
      <t>イシキ</t>
    </rPh>
    <rPh sb="4" eb="6">
      <t>チョウサ</t>
    </rPh>
    <rPh sb="8" eb="11">
      <t>ショウガッコウ</t>
    </rPh>
    <rPh sb="14" eb="15">
      <t>ネン</t>
    </rPh>
    <rPh sb="16" eb="17">
      <t>ヨウ</t>
    </rPh>
    <phoneticPr fontId="2"/>
  </si>
  <si>
    <t>人の気もちが分かる人間になりたいと思う。</t>
    <rPh sb="6" eb="7">
      <t>ぶん</t>
    </rPh>
    <rPh sb="9" eb="11">
      <t>にんげん</t>
    </rPh>
    <phoneticPr fontId="2" type="Hiragana" alignment="center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</si>
</sst>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yyyy/m/d;@"/>
  </numFmts>
  <fonts count="15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16"/>
      <color indexed="8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22"/>
      <name val="ＭＳ Ｐゴシック"/>
      <family val="3"/>
      <charset val="128"/>
    </font>
    <font>
      <b/>
      <sz val="11"/>
      <color theme="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8">
    <xf numFmtId="0" fontId="0" fillId="0" borderId="0" xfId="0"/>
    <xf numFmtId="0" fontId="3" fillId="0" borderId="1" xfId="0" applyFont="1" applyBorder="1" applyAlignment="1" applyProtection="1">
      <alignment horizontal="center" vertical="center"/>
    </xf>
    <xf numFmtId="0" fontId="6" fillId="0" borderId="1" xfId="0" applyFont="1" applyBorder="1" applyAlignment="1" applyProtection="1">
      <alignment horizontal="center" vertical="center" textRotation="255" wrapText="1"/>
    </xf>
    <xf numFmtId="0" fontId="3" fillId="0" borderId="0" xfId="0" applyFont="1" applyAlignment="1" applyProtection="1"/>
    <xf numFmtId="0" fontId="3" fillId="0" borderId="0" xfId="0" applyFont="1" applyProtection="1"/>
    <xf numFmtId="0" fontId="3" fillId="0" borderId="2" xfId="0" applyFont="1" applyBorder="1" applyAlignment="1" applyProtection="1">
      <alignment horizontal="center" vertical="center"/>
    </xf>
    <xf numFmtId="0" fontId="3" fillId="0" borderId="3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center" vertical="center"/>
    </xf>
    <xf numFmtId="0" fontId="3" fillId="0" borderId="5" xfId="0" applyFont="1" applyBorder="1" applyAlignment="1" applyProtection="1">
      <alignment horizontal="center" vertical="center"/>
    </xf>
    <xf numFmtId="0" fontId="3" fillId="0" borderId="6" xfId="0" applyFont="1" applyBorder="1" applyAlignment="1" applyProtection="1">
      <alignment horizontal="center" vertical="center"/>
    </xf>
    <xf numFmtId="0" fontId="3" fillId="0" borderId="7" xfId="0" applyFont="1" applyBorder="1" applyAlignment="1" applyProtection="1">
      <alignment horizontal="center" vertical="center"/>
    </xf>
    <xf numFmtId="0" fontId="3" fillId="0" borderId="6" xfId="0" applyFont="1" applyBorder="1" applyAlignment="1" applyProtection="1">
      <alignment horizontal="left" vertical="center" wrapText="1"/>
    </xf>
    <xf numFmtId="0" fontId="3" fillId="0" borderId="8" xfId="0" applyFont="1" applyBorder="1" applyAlignment="1" applyProtection="1">
      <alignment horizontal="center" vertical="center"/>
    </xf>
    <xf numFmtId="0" fontId="3" fillId="0" borderId="7" xfId="0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/>
      <protection locked="0"/>
    </xf>
    <xf numFmtId="0" fontId="0" fillId="0" borderId="0" xfId="0" applyFont="1" applyAlignment="1">
      <alignment vertical="center"/>
    </xf>
    <xf numFmtId="0" fontId="6" fillId="0" borderId="9" xfId="0" applyFont="1" applyBorder="1" applyAlignment="1" applyProtection="1">
      <alignment horizontal="center" vertical="center" textRotation="255" wrapText="1"/>
    </xf>
    <xf numFmtId="0" fontId="0" fillId="0" borderId="0" xfId="0" applyFont="1" applyProtection="1"/>
    <xf numFmtId="0" fontId="0" fillId="0" borderId="0" xfId="0" applyFont="1"/>
    <xf numFmtId="0" fontId="0" fillId="0" borderId="0" xfId="0" applyAlignment="1">
      <alignment horizontal="left"/>
    </xf>
    <xf numFmtId="0" fontId="3" fillId="0" borderId="6" xfId="0" applyFont="1" applyBorder="1" applyAlignment="1" applyProtection="1"/>
    <xf numFmtId="176" fontId="3" fillId="0" borderId="6" xfId="0" applyNumberFormat="1" applyFont="1" applyBorder="1" applyProtection="1"/>
    <xf numFmtId="176" fontId="3" fillId="0" borderId="10" xfId="0" applyNumberFormat="1" applyFont="1" applyBorder="1" applyAlignment="1" applyProtection="1"/>
    <xf numFmtId="0" fontId="0" fillId="0" borderId="0" xfId="0" applyFont="1" applyAlignment="1">
      <alignment horizontal="center" vertical="center"/>
    </xf>
    <xf numFmtId="0" fontId="0" fillId="0" borderId="11" xfId="0" applyFont="1" applyBorder="1" applyAlignment="1" applyProtection="1"/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10" fillId="0" borderId="0" xfId="0" applyFont="1" applyFill="1" applyAlignment="1">
      <alignment vertical="center"/>
    </xf>
    <xf numFmtId="0" fontId="3" fillId="0" borderId="6" xfId="0" applyFont="1" applyBorder="1" applyAlignment="1" applyProtection="1">
      <alignment horizontal="left" vertical="center" shrinkToFit="1"/>
    </xf>
    <xf numFmtId="0" fontId="3" fillId="0" borderId="0" xfId="0" applyFont="1" applyBorder="1" applyAlignment="1">
      <alignment vertical="center"/>
    </xf>
    <xf numFmtId="0" fontId="0" fillId="0" borderId="0" xfId="0" applyFont="1" applyBorder="1" applyAlignment="1">
      <alignment vertical="center"/>
    </xf>
    <xf numFmtId="0" fontId="3" fillId="0" borderId="7" xfId="0" applyFont="1" applyBorder="1" applyAlignment="1" applyProtection="1">
      <alignment horizontal="left" vertical="center" shrinkToFit="1"/>
    </xf>
    <xf numFmtId="0" fontId="3" fillId="0" borderId="7" xfId="0" applyFont="1" applyBorder="1" applyAlignment="1" applyProtection="1"/>
    <xf numFmtId="0" fontId="0" fillId="0" borderId="12" xfId="0" applyFont="1" applyBorder="1" applyAlignment="1" applyProtection="1"/>
    <xf numFmtId="176" fontId="3" fillId="0" borderId="13" xfId="0" applyNumberFormat="1" applyFont="1" applyBorder="1" applyAlignment="1" applyProtection="1"/>
    <xf numFmtId="176" fontId="3" fillId="0" borderId="7" xfId="0" applyNumberFormat="1" applyFont="1" applyBorder="1" applyProtection="1"/>
    <xf numFmtId="0" fontId="6" fillId="0" borderId="14" xfId="0" applyFont="1" applyBorder="1" applyAlignment="1" applyProtection="1">
      <alignment horizontal="center" vertical="center" textRotation="255" wrapText="1"/>
    </xf>
    <xf numFmtId="0" fontId="3" fillId="0" borderId="14" xfId="0" applyFont="1" applyBorder="1" applyAlignment="1" applyProtection="1">
      <alignment vertical="center" textRotation="255"/>
    </xf>
    <xf numFmtId="0" fontId="3" fillId="0" borderId="15" xfId="0" applyFont="1" applyBorder="1" applyAlignment="1" applyProtection="1">
      <alignment vertical="center" textRotation="255" wrapText="1"/>
    </xf>
    <xf numFmtId="0" fontId="6" fillId="0" borderId="16" xfId="0" applyFont="1" applyBorder="1" applyAlignment="1" applyProtection="1">
      <alignment horizontal="center" vertical="center" textRotation="255" wrapText="1"/>
    </xf>
    <xf numFmtId="0" fontId="7" fillId="0" borderId="17" xfId="0" applyFont="1" applyBorder="1" applyAlignment="1" applyProtection="1">
      <alignment horizontal="center" vertical="center" textRotation="255"/>
    </xf>
    <xf numFmtId="0" fontId="9" fillId="2" borderId="18" xfId="0" applyFont="1" applyFill="1" applyBorder="1" applyAlignment="1">
      <alignment horizontal="center" vertical="center" shrinkToFit="1"/>
    </xf>
    <xf numFmtId="0" fontId="3" fillId="0" borderId="15" xfId="0" applyFont="1" applyBorder="1" applyAlignment="1" applyProtection="1">
      <alignment vertical="center" textRotation="255"/>
    </xf>
    <xf numFmtId="176" fontId="3" fillId="0" borderId="12" xfId="0" applyNumberFormat="1" applyFont="1" applyBorder="1" applyProtection="1"/>
    <xf numFmtId="176" fontId="3" fillId="0" borderId="11" xfId="0" applyNumberFormat="1" applyFont="1" applyBorder="1" applyProtection="1"/>
    <xf numFmtId="0" fontId="3" fillId="0" borderId="19" xfId="0" applyFont="1" applyBorder="1" applyAlignment="1" applyProtection="1">
      <alignment horizontal="center" vertical="center" textRotation="255" wrapText="1"/>
    </xf>
    <xf numFmtId="0" fontId="3" fillId="0" borderId="20" xfId="0" applyFont="1" applyBorder="1" applyAlignment="1" applyProtection="1">
      <alignment horizontal="center" vertical="center"/>
    </xf>
    <xf numFmtId="0" fontId="0" fillId="0" borderId="0" xfId="0" applyFont="1" applyBorder="1" applyAlignment="1">
      <alignment horizontal="right" vertical="center"/>
    </xf>
    <xf numFmtId="177" fontId="7" fillId="0" borderId="21" xfId="0" applyNumberFormat="1" applyFont="1" applyBorder="1" applyAlignment="1" applyProtection="1">
      <alignment vertical="center"/>
      <protection locked="0"/>
    </xf>
    <xf numFmtId="176" fontId="7" fillId="0" borderId="22" xfId="0" applyNumberFormat="1" applyFont="1" applyBorder="1" applyAlignment="1">
      <alignment horizontal="center" vertical="center" shrinkToFit="1"/>
    </xf>
    <xf numFmtId="176" fontId="7" fillId="0" borderId="8" xfId="0" applyNumberFormat="1" applyFont="1" applyBorder="1" applyAlignment="1">
      <alignment horizontal="center" vertical="center" shrinkToFit="1"/>
    </xf>
    <xf numFmtId="0" fontId="8" fillId="2" borderId="23" xfId="0" applyFont="1" applyFill="1" applyBorder="1" applyAlignment="1">
      <alignment horizontal="center" vertical="center" shrinkToFit="1"/>
    </xf>
    <xf numFmtId="0" fontId="8" fillId="0" borderId="1" xfId="0" applyFont="1" applyFill="1" applyBorder="1" applyAlignment="1">
      <alignment horizontal="center" vertical="center" shrinkToFit="1"/>
    </xf>
    <xf numFmtId="0" fontId="3" fillId="0" borderId="17" xfId="0" applyFont="1" applyBorder="1" applyAlignment="1" applyProtection="1">
      <alignment vertical="center" textRotation="255" wrapText="1"/>
    </xf>
    <xf numFmtId="0" fontId="0" fillId="0" borderId="17" xfId="0" applyFont="1" applyBorder="1" applyAlignment="1" applyProtection="1">
      <alignment vertical="center" textRotation="255" wrapText="1"/>
    </xf>
    <xf numFmtId="0" fontId="3" fillId="0" borderId="24" xfId="0" applyFont="1" applyBorder="1" applyAlignment="1" applyProtection="1">
      <alignment horizontal="center" vertical="center"/>
    </xf>
    <xf numFmtId="0" fontId="3" fillId="0" borderId="25" xfId="0" applyFont="1" applyBorder="1" applyAlignment="1" applyProtection="1">
      <alignment horizontal="center" vertical="center"/>
    </xf>
    <xf numFmtId="0" fontId="3" fillId="0" borderId="26" xfId="0" applyFont="1" applyBorder="1" applyAlignment="1" applyProtection="1">
      <alignment horizontal="center" vertical="center"/>
    </xf>
    <xf numFmtId="0" fontId="3" fillId="0" borderId="27" xfId="0" applyFont="1" applyBorder="1" applyAlignment="1" applyProtection="1">
      <alignment horizontal="center" vertical="center"/>
    </xf>
    <xf numFmtId="0" fontId="3" fillId="0" borderId="28" xfId="0" applyFont="1" applyBorder="1" applyAlignment="1" applyProtection="1">
      <alignment horizontal="center" vertical="center"/>
    </xf>
    <xf numFmtId="0" fontId="3" fillId="0" borderId="29" xfId="0" applyFont="1" applyBorder="1" applyAlignment="1" applyProtection="1">
      <alignment horizontal="center" vertical="center"/>
    </xf>
    <xf numFmtId="0" fontId="8" fillId="0" borderId="1" xfId="0" applyFont="1" applyFill="1" applyBorder="1" applyAlignment="1">
      <alignment horizontal="center" vertical="center" wrapText="1" shrinkToFit="1"/>
    </xf>
    <xf numFmtId="176" fontId="7" fillId="0" borderId="30" xfId="0" applyNumberFormat="1" applyFont="1" applyBorder="1" applyAlignment="1">
      <alignment horizontal="center" vertical="center" shrinkToFit="1"/>
    </xf>
    <xf numFmtId="176" fontId="7" fillId="0" borderId="31" xfId="0" applyNumberFormat="1" applyFon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31" xfId="0" applyNumberFormat="1" applyBorder="1" applyAlignment="1">
      <alignment horizontal="center" vertical="center" shrinkToFit="1"/>
    </xf>
    <xf numFmtId="0" fontId="12" fillId="0" borderId="32" xfId="0" applyFont="1" applyBorder="1" applyAlignment="1">
      <alignment horizontal="center" vertical="center" wrapText="1" shrinkToFit="1"/>
    </xf>
    <xf numFmtId="0" fontId="12" fillId="0" borderId="33" xfId="0" applyFont="1" applyBorder="1" applyAlignment="1">
      <alignment horizontal="center" vertical="center" wrapText="1" shrinkToFit="1"/>
    </xf>
    <xf numFmtId="0" fontId="0" fillId="0" borderId="34" xfId="0" applyFont="1" applyBorder="1" applyAlignment="1">
      <alignment horizontal="center" vertical="center"/>
    </xf>
    <xf numFmtId="0" fontId="0" fillId="0" borderId="0" xfId="0" applyFont="1" applyFill="1"/>
    <xf numFmtId="0" fontId="0" fillId="0" borderId="17" xfId="0" applyFont="1" applyFill="1" applyBorder="1" applyAlignment="1" applyProtection="1">
      <alignment vertical="center" textRotation="255" wrapText="1"/>
    </xf>
    <xf numFmtId="0" fontId="3" fillId="0" borderId="17" xfId="0" applyFont="1" applyFill="1" applyBorder="1" applyAlignment="1" applyProtection="1">
      <alignment vertical="center" textRotation="255" wrapText="1"/>
    </xf>
    <xf numFmtId="0" fontId="7" fillId="0" borderId="17" xfId="0" applyFont="1" applyFill="1" applyBorder="1" applyAlignment="1" applyProtection="1">
      <alignment horizontal="center" vertical="center" textRotation="255"/>
    </xf>
    <xf numFmtId="0" fontId="0" fillId="0" borderId="0" xfId="0" applyBorder="1" applyAlignment="1">
      <alignment horizontal="right" vertical="center"/>
    </xf>
    <xf numFmtId="176" fontId="7" fillId="0" borderId="13" xfId="0" applyNumberFormat="1" applyFont="1" applyBorder="1" applyAlignment="1">
      <alignment horizontal="center" vertical="center" shrinkToFit="1"/>
    </xf>
    <xf numFmtId="176" fontId="7" fillId="0" borderId="7" xfId="0" applyNumberFormat="1" applyFont="1" applyBorder="1" applyAlignment="1">
      <alignment horizontal="center" vertical="center" shrinkToFit="1"/>
    </xf>
    <xf numFmtId="0" fontId="8" fillId="2" borderId="35" xfId="0" applyFont="1" applyFill="1" applyBorder="1" applyAlignment="1">
      <alignment horizontal="center" vertical="center" shrinkToFit="1"/>
    </xf>
    <xf numFmtId="0" fontId="8" fillId="0" borderId="36" xfId="0" applyFont="1" applyFill="1" applyBorder="1" applyAlignment="1">
      <alignment horizontal="center" vertical="center" shrinkToFit="1"/>
    </xf>
    <xf numFmtId="0" fontId="8" fillId="0" borderId="36" xfId="0" applyFont="1" applyFill="1" applyBorder="1" applyAlignment="1">
      <alignment horizontal="center" vertical="center" wrapText="1" shrinkToFit="1"/>
    </xf>
    <xf numFmtId="0" fontId="0" fillId="0" borderId="37" xfId="0" applyFont="1" applyBorder="1" applyAlignment="1" applyProtection="1">
      <alignment horizontal="center" vertical="center"/>
      <protection locked="0"/>
    </xf>
    <xf numFmtId="0" fontId="0" fillId="0" borderId="37" xfId="0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vertical="center"/>
    </xf>
    <xf numFmtId="177" fontId="7" fillId="0" borderId="21" xfId="0" applyNumberFormat="1" applyFont="1" applyBorder="1" applyAlignment="1" applyProtection="1">
      <alignment vertical="center"/>
    </xf>
    <xf numFmtId="0" fontId="0" fillId="0" borderId="0" xfId="0" applyFont="1" applyBorder="1" applyAlignment="1" applyProtection="1">
      <alignment horizontal="right" vertical="center"/>
    </xf>
    <xf numFmtId="0" fontId="0" fillId="0" borderId="37" xfId="0" applyFont="1" applyBorder="1" applyAlignment="1" applyProtection="1">
      <alignment horizontal="center" vertical="center"/>
    </xf>
    <xf numFmtId="0" fontId="0" fillId="0" borderId="34" xfId="0" applyFont="1" applyBorder="1" applyAlignment="1" applyProtection="1">
      <alignment horizontal="center" vertical="center"/>
    </xf>
    <xf numFmtId="0" fontId="0" fillId="0" borderId="2" xfId="0" applyBorder="1" applyAlignment="1" applyProtection="1">
      <alignment horizontal="left" vertical="center" wrapText="1"/>
    </xf>
    <xf numFmtId="0" fontId="0" fillId="0" borderId="6" xfId="0" applyBorder="1" applyAlignment="1" applyProtection="1">
      <alignment horizontal="left" vertical="center" wrapText="1"/>
    </xf>
    <xf numFmtId="0" fontId="0" fillId="0" borderId="6" xfId="0" applyFont="1" applyBorder="1" applyAlignment="1" applyProtection="1">
      <alignment horizontal="left" vertical="center" wrapText="1"/>
    </xf>
    <xf numFmtId="0" fontId="0" fillId="0" borderId="4" xfId="0" applyBorder="1" applyAlignment="1" applyProtection="1">
      <alignment horizontal="left" vertical="center" wrapText="1"/>
    </xf>
    <xf numFmtId="0" fontId="12" fillId="0" borderId="38" xfId="0" applyFont="1" applyBorder="1" applyAlignment="1">
      <alignment horizontal="center" vertical="center"/>
    </xf>
    <xf numFmtId="0" fontId="12" fillId="0" borderId="39" xfId="0" applyFont="1" applyBorder="1" applyAlignment="1">
      <alignment horizontal="center" vertical="center"/>
    </xf>
    <xf numFmtId="0" fontId="3" fillId="0" borderId="27" xfId="0" applyFont="1" applyBorder="1" applyAlignment="1" applyProtection="1">
      <alignment horizontal="center" vertical="center" textRotation="255" shrinkToFit="1"/>
    </xf>
    <xf numFmtId="0" fontId="0" fillId="0" borderId="6" xfId="0" applyFill="1" applyBorder="1" applyAlignment="1" applyProtection="1">
      <alignment horizontal="left" vertical="center" wrapText="1"/>
    </xf>
    <xf numFmtId="0" fontId="0" fillId="0" borderId="8" xfId="0" applyFill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center" vertical="center"/>
    </xf>
    <xf numFmtId="0" fontId="0" fillId="0" borderId="41" xfId="0" applyBorder="1" applyAlignment="1" applyProtection="1">
      <alignment horizontal="left" vertical="center" wrapText="1"/>
    </xf>
    <xf numFmtId="0" fontId="3" fillId="0" borderId="41" xfId="0" applyFont="1" applyBorder="1" applyAlignment="1" applyProtection="1">
      <alignment horizontal="center" vertical="center"/>
    </xf>
    <xf numFmtId="0" fontId="3" fillId="0" borderId="42" xfId="0" applyFont="1" applyBorder="1" applyAlignment="1" applyProtection="1">
      <alignment horizontal="center" vertical="center"/>
    </xf>
    <xf numFmtId="0" fontId="3" fillId="0" borderId="43" xfId="0" applyFont="1" applyBorder="1" applyAlignment="1" applyProtection="1">
      <alignment horizontal="center" vertical="center"/>
    </xf>
    <xf numFmtId="0" fontId="3" fillId="0" borderId="8" xfId="0" applyFont="1" applyBorder="1" applyAlignment="1" applyProtection="1"/>
    <xf numFmtId="0" fontId="0" fillId="0" borderId="44" xfId="0" applyFont="1" applyBorder="1" applyAlignment="1" applyProtection="1"/>
    <xf numFmtId="176" fontId="3" fillId="0" borderId="22" xfId="0" applyNumberFormat="1" applyFont="1" applyBorder="1" applyAlignment="1" applyProtection="1"/>
    <xf numFmtId="176" fontId="3" fillId="0" borderId="8" xfId="0" applyNumberFormat="1" applyFont="1" applyBorder="1" applyProtection="1"/>
    <xf numFmtId="176" fontId="3" fillId="0" borderId="44" xfId="0" applyNumberFormat="1" applyFont="1" applyBorder="1" applyProtection="1"/>
    <xf numFmtId="0" fontId="3" fillId="0" borderId="43" xfId="0" applyFont="1" applyBorder="1" applyAlignment="1" applyProtection="1">
      <alignment horizontal="left" vertical="center" shrinkToFit="1"/>
    </xf>
    <xf numFmtId="0" fontId="3" fillId="0" borderId="8" xfId="0" applyFont="1" applyBorder="1" applyAlignment="1" applyProtection="1">
      <alignment horizontal="center" vertical="center"/>
      <protection locked="0"/>
    </xf>
    <xf numFmtId="0" fontId="8" fillId="0" borderId="9" xfId="0" applyFont="1" applyFill="1" applyBorder="1" applyAlignment="1">
      <alignment horizontal="center" vertical="center" shrinkToFit="1"/>
    </xf>
    <xf numFmtId="176" fontId="0" fillId="0" borderId="45" xfId="0" applyNumberFormat="1" applyBorder="1" applyAlignment="1">
      <alignment horizontal="center" vertical="center" shrinkToFit="1"/>
    </xf>
    <xf numFmtId="176" fontId="0" fillId="0" borderId="20" xfId="0" applyNumberFormat="1" applyBorder="1" applyAlignment="1">
      <alignment horizontal="center" vertical="center" shrinkToFit="1"/>
    </xf>
    <xf numFmtId="0" fontId="8" fillId="0" borderId="46" xfId="0" applyFont="1" applyFill="1" applyBorder="1" applyAlignment="1">
      <alignment horizontal="center" vertical="center" shrinkToFit="1"/>
    </xf>
    <xf numFmtId="176" fontId="7" fillId="0" borderId="47" xfId="0" applyNumberFormat="1" applyFont="1" applyBorder="1" applyAlignment="1">
      <alignment horizontal="center" vertical="center" shrinkToFit="1"/>
    </xf>
    <xf numFmtId="176" fontId="7" fillId="0" borderId="20" xfId="0" applyNumberFormat="1" applyFont="1" applyBorder="1" applyAlignment="1">
      <alignment horizontal="center" vertical="center" shrinkToFit="1"/>
    </xf>
    <xf numFmtId="176" fontId="3" fillId="0" borderId="48" xfId="1" applyNumberFormat="1" applyFont="1" applyBorder="1" applyAlignment="1" applyProtection="1">
      <alignment horizontal="center" vertical="center"/>
    </xf>
    <xf numFmtId="176" fontId="3" fillId="0" borderId="47" xfId="0" applyNumberFormat="1" applyFont="1" applyBorder="1" applyAlignment="1">
      <alignment horizontal="center" vertical="center"/>
    </xf>
    <xf numFmtId="0" fontId="4" fillId="0" borderId="0" xfId="0" applyFont="1" applyBorder="1" applyAlignment="1" applyProtection="1">
      <alignment vertical="top" wrapText="1"/>
    </xf>
    <xf numFmtId="0" fontId="4" fillId="0" borderId="0" xfId="0" applyFont="1" applyBorder="1" applyAlignment="1" applyProtection="1">
      <alignment vertical="top"/>
    </xf>
    <xf numFmtId="0" fontId="4" fillId="0" borderId="0" xfId="0" applyFont="1" applyAlignment="1" applyProtection="1">
      <alignment vertical="top"/>
    </xf>
    <xf numFmtId="0" fontId="3" fillId="0" borderId="17" xfId="0" applyFont="1" applyFill="1" applyBorder="1" applyAlignment="1" applyProtection="1">
      <alignment horizontal="center" vertical="center" textRotation="255" wrapText="1"/>
    </xf>
    <xf numFmtId="0" fontId="0" fillId="0" borderId="0" xfId="0" applyFill="1" applyBorder="1" applyAlignment="1" applyProtection="1">
      <alignment horizontal="right" vertical="center"/>
      <protection locked="0"/>
    </xf>
    <xf numFmtId="0" fontId="0" fillId="0" borderId="0" xfId="0" applyFont="1" applyFill="1" applyBorder="1" applyAlignment="1" applyProtection="1">
      <alignment horizontal="right" vertical="center"/>
      <protection locked="0"/>
    </xf>
    <xf numFmtId="0" fontId="7" fillId="0" borderId="0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11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vertical="top" wrapText="1"/>
    </xf>
    <xf numFmtId="0" fontId="4" fillId="0" borderId="0" xfId="0" applyFont="1" applyBorder="1" applyAlignment="1">
      <alignment vertical="top"/>
    </xf>
    <xf numFmtId="0" fontId="8" fillId="0" borderId="0" xfId="0" applyFont="1" applyBorder="1" applyAlignment="1" applyProtection="1">
      <alignment horizontal="center" vertical="center"/>
    </xf>
    <xf numFmtId="0" fontId="3" fillId="0" borderId="1" xfId="0" applyFont="1" applyBorder="1" applyAlignment="1" applyProtection="1">
      <alignment horizontal="center" vertical="center"/>
    </xf>
    <xf numFmtId="0" fontId="3" fillId="0" borderId="49" xfId="0" applyFont="1" applyBorder="1" applyAlignment="1" applyProtection="1">
      <alignment horizontal="center" vertical="center"/>
    </xf>
    <xf numFmtId="0" fontId="14" fillId="3" borderId="55" xfId="0" applyFont="1" applyFill="1" applyBorder="1" applyAlignment="1">
      <alignment horizontal="center" vertical="center"/>
    </xf>
    <xf numFmtId="0" fontId="14" fillId="3" borderId="21" xfId="0" applyFont="1" applyFill="1" applyBorder="1" applyAlignment="1">
      <alignment horizontal="center" vertical="center"/>
    </xf>
    <xf numFmtId="0" fontId="3" fillId="0" borderId="28" xfId="0" applyFont="1" applyBorder="1" applyAlignment="1" applyProtection="1">
      <alignment horizontal="center" vertical="center" textRotation="255" wrapText="1"/>
    </xf>
    <xf numFmtId="0" fontId="0" fillId="0" borderId="57" xfId="0" applyBorder="1" applyAlignment="1">
      <alignment horizontal="center" vertical="center" textRotation="255" wrapText="1"/>
    </xf>
    <xf numFmtId="0" fontId="3" fillId="0" borderId="26" xfId="0" applyFont="1" applyBorder="1" applyAlignment="1" applyProtection="1">
      <alignment horizontal="center" vertical="center" textRotation="255" wrapText="1"/>
    </xf>
    <xf numFmtId="0" fontId="3" fillId="0" borderId="57" xfId="0" applyFont="1" applyBorder="1" applyAlignment="1" applyProtection="1">
      <alignment horizontal="center" vertical="center" textRotation="255" wrapText="1"/>
    </xf>
    <xf numFmtId="0" fontId="3" fillId="0" borderId="26" xfId="0" applyFont="1" applyBorder="1" applyAlignment="1" applyProtection="1">
      <alignment horizontal="center" vertical="center" textRotation="255" shrinkToFit="1"/>
    </xf>
    <xf numFmtId="0" fontId="0" fillId="0" borderId="28" xfId="0" applyBorder="1" applyAlignment="1">
      <alignment horizontal="center" vertical="center" textRotation="255" shrinkToFit="1"/>
    </xf>
    <xf numFmtId="0" fontId="0" fillId="0" borderId="29" xfId="0" applyBorder="1" applyAlignment="1">
      <alignment horizontal="center" vertical="center" textRotation="255" shrinkToFit="1"/>
    </xf>
    <xf numFmtId="176" fontId="3" fillId="0" borderId="5" xfId="0" applyNumberFormat="1" applyFont="1" applyBorder="1" applyAlignment="1" applyProtection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8" fillId="0" borderId="24" xfId="0" applyFont="1" applyBorder="1" applyAlignment="1" applyProtection="1">
      <alignment horizontal="center" vertical="center"/>
    </xf>
    <xf numFmtId="0" fontId="8" fillId="0" borderId="50" xfId="0" applyFont="1" applyBorder="1" applyAlignment="1" applyProtection="1">
      <alignment horizontal="center" vertical="center"/>
    </xf>
    <xf numFmtId="176" fontId="3" fillId="0" borderId="76" xfId="0" applyNumberFormat="1" applyFont="1" applyBorder="1" applyAlignment="1" applyProtection="1">
      <alignment horizontal="center" vertical="center"/>
    </xf>
    <xf numFmtId="176" fontId="3" fillId="0" borderId="47" xfId="0" applyNumberFormat="1" applyFont="1" applyBorder="1" applyAlignment="1">
      <alignment horizontal="center" vertical="center"/>
    </xf>
    <xf numFmtId="0" fontId="0" fillId="0" borderId="51" xfId="0" applyFont="1" applyBorder="1" applyAlignment="1">
      <alignment horizontal="center" vertical="center"/>
    </xf>
    <xf numFmtId="0" fontId="0" fillId="0" borderId="52" xfId="0" applyFont="1" applyBorder="1" applyAlignment="1">
      <alignment horizontal="center" vertical="center"/>
    </xf>
    <xf numFmtId="0" fontId="0" fillId="0" borderId="53" xfId="0" applyFont="1" applyBorder="1" applyAlignment="1">
      <alignment horizontal="center" vertical="center"/>
    </xf>
    <xf numFmtId="0" fontId="0" fillId="0" borderId="41" xfId="0" applyFont="1" applyBorder="1" applyAlignment="1">
      <alignment horizontal="center" vertical="center"/>
    </xf>
    <xf numFmtId="0" fontId="0" fillId="0" borderId="54" xfId="0" applyFont="1" applyBorder="1" applyAlignment="1">
      <alignment horizontal="center" vertical="center"/>
    </xf>
    <xf numFmtId="0" fontId="3" fillId="0" borderId="56" xfId="0" applyFont="1" applyBorder="1" applyAlignment="1" applyProtection="1">
      <alignment horizontal="center" vertical="center" textRotation="255" wrapText="1"/>
    </xf>
    <xf numFmtId="176" fontId="3" fillId="0" borderId="45" xfId="0" applyNumberFormat="1" applyFont="1" applyBorder="1" applyAlignment="1" applyProtection="1">
      <alignment horizontal="center" vertical="center"/>
    </xf>
    <xf numFmtId="0" fontId="0" fillId="0" borderId="71" xfId="0" applyBorder="1" applyAlignment="1" applyProtection="1">
      <alignment horizontal="left" vertical="top"/>
      <protection locked="0"/>
    </xf>
    <xf numFmtId="0" fontId="0" fillId="0" borderId="72" xfId="0" applyBorder="1" applyAlignment="1" applyProtection="1">
      <alignment horizontal="left" vertical="top"/>
      <protection locked="0"/>
    </xf>
    <xf numFmtId="0" fontId="0" fillId="0" borderId="73" xfId="0" applyBorder="1" applyAlignment="1" applyProtection="1">
      <alignment horizontal="left" vertical="top"/>
      <protection locked="0"/>
    </xf>
    <xf numFmtId="0" fontId="13" fillId="0" borderId="0" xfId="0" applyFont="1" applyBorder="1" applyAlignment="1">
      <alignment horizontal="center" vertical="center"/>
    </xf>
    <xf numFmtId="0" fontId="14" fillId="3" borderId="74" xfId="0" applyFont="1" applyFill="1" applyBorder="1" applyAlignment="1">
      <alignment horizontal="center" vertical="center"/>
    </xf>
    <xf numFmtId="0" fontId="14" fillId="3" borderId="0" xfId="0" applyFont="1" applyFill="1" applyBorder="1" applyAlignment="1">
      <alignment horizontal="center" vertical="center"/>
    </xf>
    <xf numFmtId="0" fontId="14" fillId="3" borderId="17" xfId="0" applyFont="1" applyFill="1" applyBorder="1" applyAlignment="1">
      <alignment horizontal="center" vertical="center"/>
    </xf>
    <xf numFmtId="0" fontId="12" fillId="0" borderId="75" xfId="0" applyFont="1" applyFill="1" applyBorder="1" applyAlignment="1">
      <alignment horizontal="center" vertical="center"/>
    </xf>
    <xf numFmtId="0" fontId="12" fillId="0" borderId="62" xfId="0" applyFont="1" applyFill="1" applyBorder="1" applyAlignment="1">
      <alignment horizontal="center" vertical="center"/>
    </xf>
    <xf numFmtId="0" fontId="12" fillId="0" borderId="64" xfId="0" applyFont="1" applyFill="1" applyBorder="1" applyAlignment="1">
      <alignment horizontal="center" vertical="center" shrinkToFit="1"/>
    </xf>
    <xf numFmtId="0" fontId="0" fillId="0" borderId="65" xfId="0" applyBorder="1" applyAlignment="1">
      <alignment horizontal="center" vertical="center" shrinkToFit="1"/>
    </xf>
    <xf numFmtId="0" fontId="12" fillId="0" borderId="59" xfId="0" applyFont="1" applyFill="1" applyBorder="1" applyAlignment="1">
      <alignment horizontal="center" vertical="center" shrinkToFit="1"/>
    </xf>
    <xf numFmtId="0" fontId="0" fillId="0" borderId="60" xfId="0" applyBorder="1" applyAlignment="1">
      <alignment horizontal="center" vertical="center" shrinkToFit="1"/>
    </xf>
    <xf numFmtId="0" fontId="12" fillId="0" borderId="61" xfId="0" applyFont="1" applyFill="1" applyBorder="1" applyAlignment="1" applyProtection="1">
      <alignment horizontal="center" vertical="center"/>
      <protection locked="0"/>
    </xf>
    <xf numFmtId="0" fontId="12" fillId="0" borderId="62" xfId="0" applyFont="1" applyFill="1" applyBorder="1" applyAlignment="1" applyProtection="1">
      <alignment horizontal="center" vertical="center"/>
      <protection locked="0"/>
    </xf>
    <xf numFmtId="0" fontId="12" fillId="0" borderId="63" xfId="0" applyFont="1" applyFill="1" applyBorder="1" applyAlignment="1" applyProtection="1">
      <alignment horizontal="center" vertical="center"/>
      <protection locked="0"/>
    </xf>
    <xf numFmtId="0" fontId="12" fillId="0" borderId="65" xfId="0" applyFont="1" applyFill="1" applyBorder="1" applyAlignment="1">
      <alignment horizontal="center" vertical="center" shrinkToFit="1"/>
    </xf>
    <xf numFmtId="0" fontId="12" fillId="0" borderId="66" xfId="0" applyFont="1" applyFill="1" applyBorder="1" applyAlignment="1">
      <alignment horizontal="center" vertical="center" shrinkToFit="1"/>
    </xf>
    <xf numFmtId="0" fontId="12" fillId="0" borderId="60" xfId="0" applyFont="1" applyFill="1" applyBorder="1" applyAlignment="1">
      <alignment horizontal="center" vertical="center" shrinkToFit="1"/>
    </xf>
    <xf numFmtId="0" fontId="12" fillId="0" borderId="67" xfId="0" applyFont="1" applyFill="1" applyBorder="1" applyAlignment="1">
      <alignment horizontal="center" vertical="center" shrinkToFit="1"/>
    </xf>
    <xf numFmtId="0" fontId="12" fillId="0" borderId="32" xfId="0" applyFont="1" applyFill="1" applyBorder="1" applyAlignment="1">
      <alignment horizontal="center" vertical="center" shrinkToFit="1"/>
    </xf>
    <xf numFmtId="0" fontId="12" fillId="0" borderId="68" xfId="0" applyFont="1" applyFill="1" applyBorder="1" applyAlignment="1">
      <alignment horizontal="center" vertical="center" shrinkToFit="1"/>
    </xf>
    <xf numFmtId="0" fontId="12" fillId="0" borderId="69" xfId="0" applyFont="1" applyFill="1" applyBorder="1" applyAlignment="1">
      <alignment horizontal="center" vertical="center" shrinkToFit="1"/>
    </xf>
    <xf numFmtId="0" fontId="12" fillId="0" borderId="55" xfId="0" applyFont="1" applyFill="1" applyBorder="1" applyAlignment="1">
      <alignment horizontal="center" vertical="center" shrinkToFit="1"/>
    </xf>
    <xf numFmtId="0" fontId="12" fillId="0" borderId="21" xfId="0" applyFont="1" applyFill="1" applyBorder="1" applyAlignment="1">
      <alignment horizontal="center" vertical="center" shrinkToFit="1"/>
    </xf>
    <xf numFmtId="0" fontId="12" fillId="0" borderId="70" xfId="0" applyFont="1" applyFill="1" applyBorder="1" applyAlignment="1">
      <alignment horizontal="center" vertical="center" shrinkToFit="1"/>
    </xf>
    <xf numFmtId="0" fontId="8" fillId="4" borderId="0" xfId="0" applyFont="1" applyFill="1" applyBorder="1" applyAlignment="1" applyProtection="1">
      <alignment horizontal="center" vertical="center"/>
    </xf>
    <xf numFmtId="0" fontId="14" fillId="3" borderId="55" xfId="0" applyFont="1" applyFill="1" applyBorder="1" applyAlignment="1" applyProtection="1">
      <alignment horizontal="center" vertical="center"/>
    </xf>
    <xf numFmtId="0" fontId="14" fillId="3" borderId="21" xfId="0" applyFont="1" applyFill="1" applyBorder="1" applyAlignment="1" applyProtection="1">
      <alignment horizontal="center" vertical="center"/>
    </xf>
    <xf numFmtId="0" fontId="0" fillId="0" borderId="41" xfId="0" applyFont="1" applyBorder="1" applyAlignment="1" applyProtection="1">
      <alignment horizontal="center" vertical="center"/>
    </xf>
    <xf numFmtId="0" fontId="0" fillId="0" borderId="54" xfId="0" applyFont="1" applyBorder="1" applyAlignment="1" applyProtection="1">
      <alignment horizontal="center" vertical="center"/>
    </xf>
    <xf numFmtId="0" fontId="0" fillId="0" borderId="51" xfId="0" applyFont="1" applyBorder="1" applyAlignment="1" applyProtection="1">
      <alignment horizontal="center" vertical="center"/>
    </xf>
    <xf numFmtId="0" fontId="0" fillId="0" borderId="52" xfId="0" applyFont="1" applyBorder="1" applyAlignment="1" applyProtection="1">
      <alignment horizontal="center" vertical="center"/>
    </xf>
    <xf numFmtId="0" fontId="0" fillId="0" borderId="53" xfId="0" applyFont="1" applyBorder="1" applyAlignment="1" applyProtection="1">
      <alignment horizontal="center" vertical="center"/>
    </xf>
    <xf numFmtId="0" fontId="12" fillId="0" borderId="64" xfId="0" applyFont="1" applyFill="1" applyBorder="1" applyAlignment="1" applyProtection="1">
      <alignment horizontal="center" vertical="center" shrinkToFit="1"/>
    </xf>
    <xf numFmtId="0" fontId="12" fillId="0" borderId="59" xfId="0" applyFont="1" applyFill="1" applyBorder="1" applyAlignment="1" applyProtection="1">
      <alignment horizontal="center" vertical="center" shrinkToFit="1"/>
    </xf>
  </cellXfs>
  <cellStyles count="2">
    <cellStyle name="パーセント" xfId="1" builtinId="5"/>
    <cellStyle name="標準" xfId="0" builtinId="0"/>
  </cellStyles>
  <dxfs count="15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514982364971003"/>
          <c:y val="4.9159944684026027E-2"/>
          <c:w val="0.50255676635150848"/>
          <c:h val="0.87263144748802257"/>
        </c:manualLayout>
      </c:layout>
      <c:radarChart>
        <c:radarStyle val="marker"/>
        <c:varyColors val="0"/>
        <c:ser>
          <c:idx val="0"/>
          <c:order val="0"/>
          <c:tx>
            <c:strRef>
              <c:f>'１・２年　総括'!$A$7</c:f>
              <c:strCache>
                <c:ptCount val="1"/>
                <c:pt idx="0">
                  <c:v>年度
当初</c:v>
                </c:pt>
              </c:strCache>
            </c:strRef>
          </c:tx>
          <c:marker>
            <c:symbol val="circle"/>
            <c:size val="5"/>
          </c:marker>
          <c:cat>
            <c:numRef>
              <c:f>'１・２年　総括'!$B$6:$K$6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'１・２年　総括'!$B$7:$K$7</c:f>
              <c:numCache>
                <c:formatCode>0.0%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6C4-4DE5-868A-7F001EDC6D63}"/>
            </c:ext>
          </c:extLst>
        </c:ser>
        <c:ser>
          <c:idx val="1"/>
          <c:order val="1"/>
          <c:tx>
            <c:strRef>
              <c:f>'１・２年　総括'!$A$8</c:f>
              <c:strCache>
                <c:ptCount val="1"/>
                <c:pt idx="0">
                  <c:v>年度
末</c:v>
                </c:pt>
              </c:strCache>
            </c:strRef>
          </c:tx>
          <c:marker>
            <c:symbol val="diamond"/>
            <c:size val="5"/>
          </c:marker>
          <c:cat>
            <c:numRef>
              <c:f>'１・２年　総括'!$B$6:$K$6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'１・２年　総括'!$B$8:$K$8</c:f>
              <c:numCache>
                <c:formatCode>0.0%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6C4-4DE5-868A-7F001EDC6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75744"/>
        <c:axId val="226347176"/>
      </c:radarChart>
      <c:catAx>
        <c:axId val="22527574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26347176"/>
        <c:crosses val="autoZero"/>
        <c:auto val="0"/>
        <c:lblAlgn val="ctr"/>
        <c:lblOffset val="100"/>
        <c:noMultiLvlLbl val="0"/>
      </c:catAx>
      <c:valAx>
        <c:axId val="226347176"/>
        <c:scaling>
          <c:orientation val="minMax"/>
          <c:max val="1"/>
        </c:scaling>
        <c:delete val="0"/>
        <c:axPos val="l"/>
        <c:majorGridlines/>
        <c:numFmt formatCode="0%" sourceLinked="0"/>
        <c:majorTickMark val="cross"/>
        <c:minorTickMark val="none"/>
        <c:tickLblPos val="nextTo"/>
        <c:crossAx val="225275744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3177628556443983"/>
          <c:y val="0.32445540220745844"/>
          <c:w val="0.14790149286545504"/>
          <c:h val="0.240008105742503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514982364971003"/>
          <c:y val="4.9159944684026027E-2"/>
          <c:w val="0.50255676635150848"/>
          <c:h val="0.87263144748802313"/>
        </c:manualLayout>
      </c:layout>
      <c:radarChart>
        <c:radarStyle val="marker"/>
        <c:varyColors val="0"/>
        <c:ser>
          <c:idx val="0"/>
          <c:order val="0"/>
          <c:tx>
            <c:strRef>
              <c:f>'３・４年　総括'!$A$7</c:f>
              <c:strCache>
                <c:ptCount val="1"/>
                <c:pt idx="0">
                  <c:v>年度
当初</c:v>
                </c:pt>
              </c:strCache>
            </c:strRef>
          </c:tx>
          <c:marker>
            <c:symbol val="circle"/>
            <c:size val="5"/>
          </c:marker>
          <c:cat>
            <c:numRef>
              <c:f>'３・４年　総括'!$B$6:$K$6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'３・４年　総括'!$B$7:$K$7</c:f>
              <c:numCache>
                <c:formatCode>0.0%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942-4D80-99C9-91FE1435FCF4}"/>
            </c:ext>
          </c:extLst>
        </c:ser>
        <c:ser>
          <c:idx val="1"/>
          <c:order val="1"/>
          <c:tx>
            <c:strRef>
              <c:f>'３・４年　総括'!$A$8</c:f>
              <c:strCache>
                <c:ptCount val="1"/>
                <c:pt idx="0">
                  <c:v>年度
末</c:v>
                </c:pt>
              </c:strCache>
            </c:strRef>
          </c:tx>
          <c:marker>
            <c:symbol val="diamond"/>
            <c:size val="5"/>
          </c:marker>
          <c:cat>
            <c:numRef>
              <c:f>'３・４年　総括'!$B$6:$K$6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'３・４年　総括'!$B$8:$K$8</c:f>
              <c:numCache>
                <c:formatCode>0.0%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942-4D80-99C9-91FE1435F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044712"/>
        <c:axId val="445042360"/>
      </c:radarChart>
      <c:catAx>
        <c:axId val="44504471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45042360"/>
        <c:crosses val="autoZero"/>
        <c:auto val="0"/>
        <c:lblAlgn val="ctr"/>
        <c:lblOffset val="100"/>
        <c:noMultiLvlLbl val="0"/>
      </c:catAx>
      <c:valAx>
        <c:axId val="445042360"/>
        <c:scaling>
          <c:orientation val="minMax"/>
          <c:max val="1"/>
        </c:scaling>
        <c:delete val="0"/>
        <c:axPos val="l"/>
        <c:majorGridlines/>
        <c:numFmt formatCode="0%" sourceLinked="0"/>
        <c:majorTickMark val="cross"/>
        <c:minorTickMark val="none"/>
        <c:tickLblPos val="nextTo"/>
        <c:crossAx val="445044712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3177628556443983"/>
          <c:y val="0.32445540220745844"/>
          <c:w val="0.14790149286545504"/>
          <c:h val="0.2400081057425035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514982364971003"/>
          <c:y val="4.9159944684026027E-2"/>
          <c:w val="0.50255676635150848"/>
          <c:h val="0.87263144748802313"/>
        </c:manualLayout>
      </c:layout>
      <c:radarChart>
        <c:radarStyle val="marker"/>
        <c:varyColors val="0"/>
        <c:ser>
          <c:idx val="0"/>
          <c:order val="0"/>
          <c:tx>
            <c:strRef>
              <c:f>'５・６年　総括'!$A$7</c:f>
              <c:strCache>
                <c:ptCount val="1"/>
                <c:pt idx="0">
                  <c:v>年度
当初</c:v>
                </c:pt>
              </c:strCache>
            </c:strRef>
          </c:tx>
          <c:marker>
            <c:symbol val="circle"/>
            <c:size val="5"/>
          </c:marker>
          <c:cat>
            <c:numRef>
              <c:f>'５・６年　総括'!$B$6:$K$6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'５・６年　総括'!$B$7:$K$7</c:f>
              <c:numCache>
                <c:formatCode>0.0%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B11-447C-AFA4-BC2007327DB5}"/>
            </c:ext>
          </c:extLst>
        </c:ser>
        <c:ser>
          <c:idx val="1"/>
          <c:order val="1"/>
          <c:tx>
            <c:strRef>
              <c:f>'５・６年　総括'!$A$8</c:f>
              <c:strCache>
                <c:ptCount val="1"/>
                <c:pt idx="0">
                  <c:v>年度
末</c:v>
                </c:pt>
              </c:strCache>
            </c:strRef>
          </c:tx>
          <c:marker>
            <c:symbol val="diamond"/>
            <c:size val="5"/>
          </c:marker>
          <c:cat>
            <c:numRef>
              <c:f>'５・６年　総括'!$B$6:$K$6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'５・６年　総括'!$B$8:$K$8</c:f>
              <c:numCache>
                <c:formatCode>0.0%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B11-447C-AFA4-BC2007327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041576"/>
        <c:axId val="445041968"/>
      </c:radarChart>
      <c:catAx>
        <c:axId val="44504157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45041968"/>
        <c:crosses val="autoZero"/>
        <c:auto val="0"/>
        <c:lblAlgn val="ctr"/>
        <c:lblOffset val="100"/>
        <c:noMultiLvlLbl val="0"/>
      </c:catAx>
      <c:valAx>
        <c:axId val="445041968"/>
        <c:scaling>
          <c:orientation val="minMax"/>
          <c:max val="1"/>
        </c:scaling>
        <c:delete val="0"/>
        <c:axPos val="l"/>
        <c:majorGridlines/>
        <c:numFmt formatCode="0%" sourceLinked="0"/>
        <c:majorTickMark val="cross"/>
        <c:minorTickMark val="none"/>
        <c:tickLblPos val="nextTo"/>
        <c:crossAx val="445041576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3177628556443983"/>
          <c:y val="0.32445540220745844"/>
          <c:w val="0.14790149286545504"/>
          <c:h val="0.2400081057425035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514982364971003"/>
          <c:y val="4.9159944684026027E-2"/>
          <c:w val="0.50255676635150848"/>
          <c:h val="0.87263144748802357"/>
        </c:manualLayout>
      </c:layout>
      <c:radarChart>
        <c:radarStyle val="marker"/>
        <c:varyColors val="0"/>
        <c:ser>
          <c:idx val="0"/>
          <c:order val="0"/>
          <c:tx>
            <c:strRef>
              <c:f>'１～６年　総括 '!$A$7</c:f>
              <c:strCache>
                <c:ptCount val="1"/>
                <c:pt idx="0">
                  <c:v>年度
当初</c:v>
                </c:pt>
              </c:strCache>
            </c:strRef>
          </c:tx>
          <c:marker>
            <c:symbol val="circle"/>
            <c:size val="5"/>
          </c:marker>
          <c:cat>
            <c:numRef>
              <c:f>'１～６年　総括 '!$B$6:$K$6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'１～６年　総括 '!$B$7:$K$7</c:f>
              <c:numCache>
                <c:formatCode>0.0%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18C-4148-B9C4-8AACABAC847F}"/>
            </c:ext>
          </c:extLst>
        </c:ser>
        <c:ser>
          <c:idx val="1"/>
          <c:order val="1"/>
          <c:tx>
            <c:strRef>
              <c:f>'１～６年　総括 '!$A$8</c:f>
              <c:strCache>
                <c:ptCount val="1"/>
                <c:pt idx="0">
                  <c:v>年度
末</c:v>
                </c:pt>
              </c:strCache>
            </c:strRef>
          </c:tx>
          <c:marker>
            <c:symbol val="diamond"/>
            <c:size val="5"/>
          </c:marker>
          <c:cat>
            <c:numRef>
              <c:f>'１～６年　総括 '!$B$6:$K$6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'１～６年　総括 '!$B$8:$K$8</c:f>
              <c:numCache>
                <c:formatCode>0.0%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18C-4148-B9C4-8AACABAC8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044320"/>
        <c:axId val="445042752"/>
      </c:radarChart>
      <c:catAx>
        <c:axId val="44504432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45042752"/>
        <c:crosses val="autoZero"/>
        <c:auto val="0"/>
        <c:lblAlgn val="ctr"/>
        <c:lblOffset val="100"/>
        <c:noMultiLvlLbl val="0"/>
      </c:catAx>
      <c:valAx>
        <c:axId val="445042752"/>
        <c:scaling>
          <c:orientation val="minMax"/>
          <c:max val="1"/>
        </c:scaling>
        <c:delete val="0"/>
        <c:axPos val="l"/>
        <c:majorGridlines/>
        <c:numFmt formatCode="0%" sourceLinked="0"/>
        <c:majorTickMark val="cross"/>
        <c:minorTickMark val="none"/>
        <c:tickLblPos val="nextTo"/>
        <c:crossAx val="445044320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3177628556443983"/>
          <c:y val="0.32445540220745844"/>
          <c:w val="0.14790149286545504"/>
          <c:h val="0.2400081057425035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</xdr:row>
      <xdr:rowOff>0</xdr:rowOff>
    </xdr:from>
    <xdr:to>
      <xdr:col>18</xdr:col>
      <xdr:colOff>514350</xdr:colOff>
      <xdr:row>2</xdr:row>
      <xdr:rowOff>733425</xdr:rowOff>
    </xdr:to>
    <xdr:sp macro="[0]!集計結果取り込み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xmlns="" id="{390EB62C-4B30-424F-ADE4-99FACFF4A404}"/>
            </a:ext>
          </a:extLst>
        </xdr:cNvPr>
        <xdr:cNvSpPr/>
      </xdr:nvSpPr>
      <xdr:spPr>
        <a:xfrm>
          <a:off x="11468100" y="514350"/>
          <a:ext cx="1885950" cy="733425"/>
        </a:xfrm>
        <a:prstGeom prst="flowChartProcess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/>
            <a:t>データ取り込み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</xdr:row>
      <xdr:rowOff>0</xdr:rowOff>
    </xdr:from>
    <xdr:to>
      <xdr:col>18</xdr:col>
      <xdr:colOff>514350</xdr:colOff>
      <xdr:row>2</xdr:row>
      <xdr:rowOff>733425</xdr:rowOff>
    </xdr:to>
    <xdr:sp macro="[0]!集計結果取り込み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xmlns="" id="{0AACDB8B-E0E1-40DB-83DC-86F388FE1FCC}"/>
            </a:ext>
          </a:extLst>
        </xdr:cNvPr>
        <xdr:cNvSpPr/>
      </xdr:nvSpPr>
      <xdr:spPr>
        <a:xfrm>
          <a:off x="11468100" y="514350"/>
          <a:ext cx="1885950" cy="733425"/>
        </a:xfrm>
        <a:prstGeom prst="flowChartProcess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/>
            <a:t>データ取り込み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8</xdr:row>
      <xdr:rowOff>19050</xdr:rowOff>
    </xdr:from>
    <xdr:to>
      <xdr:col>11</xdr:col>
      <xdr:colOff>0</xdr:colOff>
      <xdr:row>33</xdr:row>
      <xdr:rowOff>19050</xdr:rowOff>
    </xdr:to>
    <xdr:graphicFrame macro="">
      <xdr:nvGraphicFramePr>
        <xdr:cNvPr id="480413" name="グラフ 1">
          <a:extLst>
            <a:ext uri="{FF2B5EF4-FFF2-40B4-BE49-F238E27FC236}">
              <a16:creationId xmlns:a16="http://schemas.microsoft.com/office/drawing/2014/main" xmlns="" id="{00000000-0008-0000-0500-00009D540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</xdr:row>
      <xdr:rowOff>0</xdr:rowOff>
    </xdr:from>
    <xdr:to>
      <xdr:col>18</xdr:col>
      <xdr:colOff>514350</xdr:colOff>
      <xdr:row>2</xdr:row>
      <xdr:rowOff>733425</xdr:rowOff>
    </xdr:to>
    <xdr:sp macro="[0]!集計結果取り込み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xmlns="" id="{FFB5D391-B3AC-495E-8A0D-EAE604108A74}"/>
            </a:ext>
          </a:extLst>
        </xdr:cNvPr>
        <xdr:cNvSpPr/>
      </xdr:nvSpPr>
      <xdr:spPr>
        <a:xfrm>
          <a:off x="11468100" y="514350"/>
          <a:ext cx="1885950" cy="733425"/>
        </a:xfrm>
        <a:prstGeom prst="flowChartProcess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/>
            <a:t>データ取り込み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</xdr:row>
      <xdr:rowOff>0</xdr:rowOff>
    </xdr:from>
    <xdr:to>
      <xdr:col>18</xdr:col>
      <xdr:colOff>514350</xdr:colOff>
      <xdr:row>2</xdr:row>
      <xdr:rowOff>733425</xdr:rowOff>
    </xdr:to>
    <xdr:sp macro="[0]!集計結果取り込み" textlink="">
      <xdr:nvSpPr>
        <xdr:cNvPr id="3" name="フローチャート: 処理 2">
          <a:extLst>
            <a:ext uri="{FF2B5EF4-FFF2-40B4-BE49-F238E27FC236}">
              <a16:creationId xmlns:a16="http://schemas.microsoft.com/office/drawing/2014/main" xmlns="" id="{14C19015-1AA9-444B-80FD-A82EE7FD5E55}"/>
            </a:ext>
          </a:extLst>
        </xdr:cNvPr>
        <xdr:cNvSpPr/>
      </xdr:nvSpPr>
      <xdr:spPr>
        <a:xfrm>
          <a:off x="11468100" y="571500"/>
          <a:ext cx="1885950" cy="733425"/>
        </a:xfrm>
        <a:prstGeom prst="flowChartProcess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/>
            <a:t>データ取り込み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8</xdr:row>
      <xdr:rowOff>19050</xdr:rowOff>
    </xdr:from>
    <xdr:to>
      <xdr:col>11</xdr:col>
      <xdr:colOff>0</xdr:colOff>
      <xdr:row>33</xdr:row>
      <xdr:rowOff>19050</xdr:rowOff>
    </xdr:to>
    <xdr:graphicFrame macro="">
      <xdr:nvGraphicFramePr>
        <xdr:cNvPr id="562276" name="グラフ 1">
          <a:extLst>
            <a:ext uri="{FF2B5EF4-FFF2-40B4-BE49-F238E27FC236}">
              <a16:creationId xmlns:a16="http://schemas.microsoft.com/office/drawing/2014/main" xmlns="" id="{00000000-0008-0000-0800-000064940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</xdr:row>
      <xdr:rowOff>0</xdr:rowOff>
    </xdr:from>
    <xdr:to>
      <xdr:col>18</xdr:col>
      <xdr:colOff>514350</xdr:colOff>
      <xdr:row>2</xdr:row>
      <xdr:rowOff>733425</xdr:rowOff>
    </xdr:to>
    <xdr:sp macro="[0]!集計結果取り込み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xmlns="" id="{F3EC7D93-A54F-4CEA-A1AD-F6125C15887B}"/>
            </a:ext>
          </a:extLst>
        </xdr:cNvPr>
        <xdr:cNvSpPr/>
      </xdr:nvSpPr>
      <xdr:spPr>
        <a:xfrm>
          <a:off x="11468100" y="514350"/>
          <a:ext cx="1885950" cy="733425"/>
        </a:xfrm>
        <a:prstGeom prst="flowChartProcess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/>
            <a:t>データ取り込み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</xdr:row>
      <xdr:rowOff>0</xdr:rowOff>
    </xdr:from>
    <xdr:to>
      <xdr:col>18</xdr:col>
      <xdr:colOff>514350</xdr:colOff>
      <xdr:row>2</xdr:row>
      <xdr:rowOff>733425</xdr:rowOff>
    </xdr:to>
    <xdr:sp macro="[0]!集計結果取り込み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xmlns="" id="{A3C5AF37-5381-4FD0-B7C9-C10C0A1CC3A6}"/>
            </a:ext>
          </a:extLst>
        </xdr:cNvPr>
        <xdr:cNvSpPr/>
      </xdr:nvSpPr>
      <xdr:spPr>
        <a:xfrm>
          <a:off x="11468100" y="514350"/>
          <a:ext cx="1885950" cy="733425"/>
        </a:xfrm>
        <a:prstGeom prst="flowChartProcess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/>
            <a:t>データ取り込み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8</xdr:row>
      <xdr:rowOff>19050</xdr:rowOff>
    </xdr:from>
    <xdr:to>
      <xdr:col>11</xdr:col>
      <xdr:colOff>0</xdr:colOff>
      <xdr:row>33</xdr:row>
      <xdr:rowOff>19050</xdr:rowOff>
    </xdr:to>
    <xdr:graphicFrame macro="">
      <xdr:nvGraphicFramePr>
        <xdr:cNvPr id="564324" name="グラフ 1">
          <a:extLst>
            <a:ext uri="{FF2B5EF4-FFF2-40B4-BE49-F238E27FC236}">
              <a16:creationId xmlns:a16="http://schemas.microsoft.com/office/drawing/2014/main" xmlns="" id="{00000000-0008-0000-0B00-0000649C0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8</xdr:row>
      <xdr:rowOff>19050</xdr:rowOff>
    </xdr:from>
    <xdr:to>
      <xdr:col>11</xdr:col>
      <xdr:colOff>0</xdr:colOff>
      <xdr:row>33</xdr:row>
      <xdr:rowOff>19050</xdr:rowOff>
    </xdr:to>
    <xdr:graphicFrame macro="">
      <xdr:nvGraphicFramePr>
        <xdr:cNvPr id="566372" name="グラフ 1">
          <a:extLst>
            <a:ext uri="{FF2B5EF4-FFF2-40B4-BE49-F238E27FC236}">
              <a16:creationId xmlns:a16="http://schemas.microsoft.com/office/drawing/2014/main" xmlns="" id="{00000000-0008-0000-0E00-000064A40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H19"/>
  <sheetViews>
    <sheetView showGridLines="0" view="pageBreakPreview" topLeftCell="B9" zoomScaleNormal="100" zoomScaleSheetLayoutView="100" workbookViewId="0">
      <selection activeCell="C5" sqref="C5"/>
    </sheetView>
  </sheetViews>
  <sheetFormatPr defaultColWidth="9" defaultRowHeight="13.2"/>
  <cols>
    <col min="1" max="1" width="4.109375" style="18" hidden="1" customWidth="1"/>
    <col min="2" max="2" width="3.109375" style="18" customWidth="1"/>
    <col min="3" max="3" width="60.6640625" style="18" customWidth="1"/>
    <col min="4" max="7" width="6.6640625" style="18" customWidth="1"/>
    <col min="8" max="16384" width="9" style="18"/>
  </cols>
  <sheetData>
    <row r="1" spans="1:8" s="26" customFormat="1" ht="33" customHeight="1">
      <c r="A1" s="122" t="s">
        <v>72</v>
      </c>
      <c r="B1" s="122"/>
      <c r="C1" s="122"/>
      <c r="D1" s="25"/>
      <c r="E1" s="121" t="s" ph="1">
        <v>26</v>
      </c>
      <c r="F1" s="121" ph="1"/>
      <c r="G1" s="121" ph="1"/>
    </row>
    <row r="2" spans="1:8" s="26" customFormat="1" ht="33" customHeight="1" ph="1">
      <c r="A2" s="119" t="s" ph="1">
        <v>27</v>
      </c>
      <c r="B2" s="120" ph="1"/>
      <c r="C2" s="120" ph="1"/>
      <c r="D2" s="25" t="s" ph="1">
        <v>28</v>
      </c>
      <c r="E2" s="121" ph="1"/>
      <c r="F2" s="121" ph="1"/>
      <c r="G2" s="121" ph="1"/>
    </row>
    <row r="3" spans="1:8" s="27" customFormat="1" ht="33" customHeight="1" thickBot="1">
      <c r="A3" s="123" t="s" ph="1">
        <v>32</v>
      </c>
      <c r="B3" s="123"/>
      <c r="C3" s="123"/>
      <c r="D3" s="123"/>
      <c r="E3" s="123"/>
      <c r="F3" s="123"/>
      <c r="G3" s="123"/>
    </row>
    <row r="4" spans="1:8" s="4" customFormat="1" ht="84.9" customHeight="1" thickBot="1">
      <c r="A4" s="40"/>
      <c r="B4" s="55" t="s">
        <v>1</v>
      </c>
      <c r="C4" s="1" t="s" ph="1">
        <v>24</v>
      </c>
      <c r="D4" s="2" t="s">
        <v>2</v>
      </c>
      <c r="E4" s="2" t="s">
        <v>19</v>
      </c>
      <c r="F4" s="2" t="s">
        <v>20</v>
      </c>
      <c r="G4" s="16" t="s">
        <v>5</v>
      </c>
      <c r="H4" s="3"/>
    </row>
    <row r="5" spans="1:8" s="4" customFormat="1" ht="60" customHeight="1" thickTop="1">
      <c r="A5" s="53"/>
      <c r="B5" s="56">
        <v>1</v>
      </c>
      <c r="C5" s="86" t="s">
        <v>42</v>
      </c>
      <c r="D5" s="5">
        <v>4</v>
      </c>
      <c r="E5" s="5">
        <v>3</v>
      </c>
      <c r="F5" s="5">
        <v>2</v>
      </c>
      <c r="G5" s="6">
        <v>1</v>
      </c>
      <c r="H5" s="3"/>
    </row>
    <row r="6" spans="1:8" s="4" customFormat="1" ht="60" customHeight="1">
      <c r="A6" s="53"/>
      <c r="B6" s="57">
        <v>2</v>
      </c>
      <c r="C6" s="87" t="s">
        <v>43</v>
      </c>
      <c r="D6" s="7">
        <v>4</v>
      </c>
      <c r="E6" s="7">
        <v>3</v>
      </c>
      <c r="F6" s="7">
        <v>2</v>
      </c>
      <c r="G6" s="8">
        <v>1</v>
      </c>
      <c r="H6" s="3"/>
    </row>
    <row r="7" spans="1:8" s="4" customFormat="1" ht="60" customHeight="1">
      <c r="A7" s="54"/>
      <c r="B7" s="57">
        <v>3</v>
      </c>
      <c r="C7" s="88" t="s">
        <v>44</v>
      </c>
      <c r="D7" s="7">
        <v>4</v>
      </c>
      <c r="E7" s="7">
        <v>3</v>
      </c>
      <c r="F7" s="7">
        <v>2</v>
      </c>
      <c r="G7" s="8">
        <v>1</v>
      </c>
      <c r="H7" s="3"/>
    </row>
    <row r="8" spans="1:8" s="4" customFormat="1" ht="60" customHeight="1">
      <c r="A8" s="118"/>
      <c r="B8" s="58">
        <v>4</v>
      </c>
      <c r="C8" s="88" t="s" ph="1">
        <v>45</v>
      </c>
      <c r="D8" s="7">
        <v>4</v>
      </c>
      <c r="E8" s="7">
        <v>3</v>
      </c>
      <c r="F8" s="7">
        <v>2</v>
      </c>
      <c r="G8" s="8">
        <v>1</v>
      </c>
    </row>
    <row r="9" spans="1:8" s="4" customFormat="1" ht="60" customHeight="1">
      <c r="A9" s="118"/>
      <c r="B9" s="58">
        <v>5</v>
      </c>
      <c r="C9" s="88" t="s">
        <v>46</v>
      </c>
      <c r="D9" s="7">
        <v>4</v>
      </c>
      <c r="E9" s="7">
        <v>3</v>
      </c>
      <c r="F9" s="7">
        <v>2</v>
      </c>
      <c r="G9" s="8">
        <v>1</v>
      </c>
    </row>
    <row r="10" spans="1:8" s="4" customFormat="1" ht="60" customHeight="1">
      <c r="A10" s="118"/>
      <c r="B10" s="57">
        <v>6</v>
      </c>
      <c r="C10" s="88" t="s" ph="1">
        <v>25</v>
      </c>
      <c r="D10" s="7">
        <v>4</v>
      </c>
      <c r="E10" s="7">
        <v>3</v>
      </c>
      <c r="F10" s="7">
        <v>2</v>
      </c>
      <c r="G10" s="8">
        <v>1</v>
      </c>
    </row>
    <row r="11" spans="1:8" s="4" customFormat="1" ht="60" customHeight="1">
      <c r="A11" s="118"/>
      <c r="B11" s="58">
        <v>7</v>
      </c>
      <c r="C11" s="88" t="s">
        <v>47</v>
      </c>
      <c r="D11" s="7">
        <v>4</v>
      </c>
      <c r="E11" s="7">
        <v>3</v>
      </c>
      <c r="F11" s="7">
        <v>2</v>
      </c>
      <c r="G11" s="8">
        <v>1</v>
      </c>
    </row>
    <row r="12" spans="1:8" s="4" customFormat="1" ht="60" customHeight="1">
      <c r="A12" s="118"/>
      <c r="B12" s="59">
        <v>8</v>
      </c>
      <c r="C12" s="87" t="s" ph="1">
        <v>61</v>
      </c>
      <c r="D12" s="7">
        <v>4</v>
      </c>
      <c r="E12" s="7">
        <v>3</v>
      </c>
      <c r="F12" s="7">
        <v>2</v>
      </c>
      <c r="G12" s="8">
        <v>1</v>
      </c>
    </row>
    <row r="13" spans="1:8" s="4" customFormat="1" ht="60" customHeight="1">
      <c r="A13" s="118"/>
      <c r="B13" s="58">
        <v>9</v>
      </c>
      <c r="C13" s="87" t="s">
        <v>62</v>
      </c>
      <c r="D13" s="7">
        <v>4</v>
      </c>
      <c r="E13" s="7">
        <v>3</v>
      </c>
      <c r="F13" s="7">
        <v>2</v>
      </c>
      <c r="G13" s="8">
        <v>1</v>
      </c>
    </row>
    <row r="14" spans="1:8" s="4" customFormat="1" ht="60" customHeight="1" thickBot="1">
      <c r="A14" s="118"/>
      <c r="B14" s="60">
        <v>10</v>
      </c>
      <c r="C14" s="94" t="s" ph="1">
        <v>63</v>
      </c>
      <c r="D14" s="12">
        <v>4</v>
      </c>
      <c r="E14" s="12">
        <v>3</v>
      </c>
      <c r="F14" s="12">
        <v>2</v>
      </c>
      <c r="G14" s="46">
        <v>1</v>
      </c>
    </row>
    <row r="15" spans="1:8" s="17" customFormat="1" ht="13.5" customHeight="1">
      <c r="A15" s="115"/>
      <c r="B15" s="116"/>
      <c r="C15" s="116"/>
      <c r="D15" s="116"/>
      <c r="E15" s="116"/>
      <c r="F15" s="116"/>
      <c r="G15" s="116"/>
    </row>
    <row r="16" spans="1:8" s="17" customFormat="1">
      <c r="A16" s="117"/>
      <c r="B16" s="117"/>
      <c r="C16" s="117"/>
      <c r="D16" s="117"/>
      <c r="E16" s="117"/>
      <c r="F16" s="117"/>
      <c r="G16" s="117"/>
    </row>
    <row r="19" ht="24" customHeight="1"/>
  </sheetData>
  <sheetProtection formatCells="0"/>
  <mergeCells count="7">
    <mergeCell ref="A15:G16"/>
    <mergeCell ref="A8:A14"/>
    <mergeCell ref="A2:C2"/>
    <mergeCell ref="E2:G2"/>
    <mergeCell ref="A1:C1"/>
    <mergeCell ref="E1:G1"/>
    <mergeCell ref="A3:G3"/>
  </mergeCells>
  <phoneticPr fontId="2" type="Hiragana" alignment="center"/>
  <printOptions horizontalCentered="1"/>
  <pageMargins left="0.59055118110236227" right="0.59055118110236227" top="0.78740157480314965" bottom="0.39370078740157483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H25"/>
  <sheetViews>
    <sheetView showGridLines="0" view="pageBreakPreview" topLeftCell="B1" zoomScaleNormal="100" zoomScaleSheetLayoutView="100" workbookViewId="0">
      <selection activeCell="C4" sqref="C4"/>
    </sheetView>
  </sheetViews>
  <sheetFormatPr defaultColWidth="9" defaultRowHeight="13.2"/>
  <cols>
    <col min="1" max="1" width="6.33203125" style="69" hidden="1" customWidth="1"/>
    <col min="2" max="2" width="3.109375" style="18" customWidth="1"/>
    <col min="3" max="3" width="60.6640625" style="18" customWidth="1"/>
    <col min="4" max="7" width="6.6640625" style="18" customWidth="1"/>
    <col min="8" max="16384" width="9" style="18"/>
  </cols>
  <sheetData>
    <row r="1" spans="1:8" s="26" customFormat="1" ht="33" customHeight="1">
      <c r="A1" s="122" t="s">
        <v>73</v>
      </c>
      <c r="B1" s="122"/>
      <c r="C1" s="122"/>
      <c r="D1" s="25"/>
      <c r="E1" s="121" t="s">
        <v>37</v>
      </c>
      <c r="F1" s="121"/>
      <c r="G1" s="121"/>
    </row>
    <row r="2" spans="1:8" s="26" customFormat="1" ht="33" customHeight="1">
      <c r="A2" s="120" t="s">
        <v>36</v>
      </c>
      <c r="B2" s="120"/>
      <c r="C2" s="120"/>
      <c r="D2" s="25" t="s">
        <v>35</v>
      </c>
      <c r="E2" s="121"/>
      <c r="F2" s="121"/>
      <c r="G2" s="121"/>
    </row>
    <row r="3" spans="1:8" s="27" customFormat="1" ht="33" customHeight="1" thickBot="1">
      <c r="A3" s="123" t="s">
        <v>32</v>
      </c>
      <c r="B3" s="123"/>
      <c r="C3" s="123"/>
      <c r="D3" s="123"/>
      <c r="E3" s="123"/>
      <c r="F3" s="123"/>
      <c r="G3" s="123"/>
    </row>
    <row r="4" spans="1:8" s="4" customFormat="1" ht="84.9" customHeight="1" thickBot="1">
      <c r="A4" s="72"/>
      <c r="B4" s="55" t="s">
        <v>34</v>
      </c>
      <c r="C4" s="1" t="s" ph="1">
        <v>24</v>
      </c>
      <c r="D4" s="2" t="s">
        <v>2</v>
      </c>
      <c r="E4" s="2" t="s">
        <v>19</v>
      </c>
      <c r="F4" s="2" t="s">
        <v>20</v>
      </c>
      <c r="G4" s="16" t="s">
        <v>5</v>
      </c>
      <c r="H4" s="3"/>
    </row>
    <row r="5" spans="1:8" s="4" customFormat="1" ht="63" customHeight="1" thickTop="1">
      <c r="A5" s="71"/>
      <c r="B5" s="56">
        <v>1</v>
      </c>
      <c r="C5" s="86" t="s" ph="1">
        <v>48</v>
      </c>
      <c r="D5" s="5">
        <v>4</v>
      </c>
      <c r="E5" s="5">
        <v>3</v>
      </c>
      <c r="F5" s="5">
        <v>2</v>
      </c>
      <c r="G5" s="6">
        <v>1</v>
      </c>
      <c r="H5" s="3"/>
    </row>
    <row r="6" spans="1:8" s="4" customFormat="1" ht="63" customHeight="1">
      <c r="A6" s="71"/>
      <c r="B6" s="57">
        <v>2</v>
      </c>
      <c r="C6" s="89" t="s" ph="1">
        <v>49</v>
      </c>
      <c r="D6" s="7">
        <v>4</v>
      </c>
      <c r="E6" s="7">
        <v>3</v>
      </c>
      <c r="F6" s="7">
        <v>2</v>
      </c>
      <c r="G6" s="8">
        <v>1</v>
      </c>
      <c r="H6" s="3"/>
    </row>
    <row r="7" spans="1:8" s="4" customFormat="1" ht="63" customHeight="1">
      <c r="A7" s="70"/>
      <c r="B7" s="57">
        <v>3</v>
      </c>
      <c r="C7" s="88" t="s" ph="1">
        <v>50</v>
      </c>
      <c r="D7" s="7">
        <v>4</v>
      </c>
      <c r="E7" s="7">
        <v>3</v>
      </c>
      <c r="F7" s="7">
        <v>2</v>
      </c>
      <c r="G7" s="8">
        <v>1</v>
      </c>
      <c r="H7" s="3"/>
    </row>
    <row r="8" spans="1:8" s="4" customFormat="1" ht="63" customHeight="1">
      <c r="A8" s="118"/>
      <c r="B8" s="58">
        <v>4</v>
      </c>
      <c r="C8" s="88" t="s">
        <v>33</v>
      </c>
      <c r="D8" s="7">
        <v>4</v>
      </c>
      <c r="E8" s="7">
        <v>3</v>
      </c>
      <c r="F8" s="7">
        <v>2</v>
      </c>
      <c r="G8" s="8">
        <v>1</v>
      </c>
    </row>
    <row r="9" spans="1:8" s="4" customFormat="1" ht="63" customHeight="1">
      <c r="A9" s="118"/>
      <c r="B9" s="58">
        <v>5</v>
      </c>
      <c r="C9" s="88" t="s" ph="1">
        <v>51</v>
      </c>
      <c r="D9" s="7">
        <v>4</v>
      </c>
      <c r="E9" s="7">
        <v>3</v>
      </c>
      <c r="F9" s="7">
        <v>2</v>
      </c>
      <c r="G9" s="8">
        <v>1</v>
      </c>
    </row>
    <row r="10" spans="1:8" s="4" customFormat="1" ht="63" customHeight="1">
      <c r="A10" s="118"/>
      <c r="B10" s="57">
        <v>6</v>
      </c>
      <c r="C10" s="88" t="s" ph="1">
        <v>52</v>
      </c>
      <c r="D10" s="7">
        <v>4</v>
      </c>
      <c r="E10" s="7">
        <v>3</v>
      </c>
      <c r="F10" s="7">
        <v>2</v>
      </c>
      <c r="G10" s="8">
        <v>1</v>
      </c>
    </row>
    <row r="11" spans="1:8" s="4" customFormat="1" ht="63" customHeight="1">
      <c r="A11" s="118"/>
      <c r="B11" s="58">
        <v>7</v>
      </c>
      <c r="C11" s="88" t="s" ph="1">
        <v>53</v>
      </c>
      <c r="D11" s="7">
        <v>4</v>
      </c>
      <c r="E11" s="7">
        <v>3</v>
      </c>
      <c r="F11" s="7">
        <v>2</v>
      </c>
      <c r="G11" s="8">
        <v>1</v>
      </c>
    </row>
    <row r="12" spans="1:8" s="4" customFormat="1" ht="63" customHeight="1">
      <c r="A12" s="118"/>
      <c r="B12" s="59">
        <v>8</v>
      </c>
      <c r="C12" s="87" t="s" ph="1">
        <v>64</v>
      </c>
      <c r="D12" s="7">
        <v>4</v>
      </c>
      <c r="E12" s="7">
        <v>3</v>
      </c>
      <c r="F12" s="7">
        <v>2</v>
      </c>
      <c r="G12" s="8">
        <v>1</v>
      </c>
    </row>
    <row r="13" spans="1:8" s="4" customFormat="1" ht="63" customHeight="1">
      <c r="A13" s="118"/>
      <c r="B13" s="58">
        <v>9</v>
      </c>
      <c r="C13" s="93" t="s">
        <v>65</v>
      </c>
      <c r="D13" s="7">
        <v>4</v>
      </c>
      <c r="E13" s="7">
        <v>3</v>
      </c>
      <c r="F13" s="7">
        <v>2</v>
      </c>
      <c r="G13" s="8">
        <v>1</v>
      </c>
    </row>
    <row r="14" spans="1:8" s="4" customFormat="1" ht="63" customHeight="1" thickBot="1">
      <c r="A14" s="118"/>
      <c r="B14" s="60">
        <v>10</v>
      </c>
      <c r="C14" s="94" t="s" ph="1">
        <v>66</v>
      </c>
      <c r="D14" s="12">
        <v>4</v>
      </c>
      <c r="E14" s="12">
        <v>3</v>
      </c>
      <c r="F14" s="12">
        <v>2</v>
      </c>
      <c r="G14" s="46">
        <v>1</v>
      </c>
    </row>
    <row r="15" spans="1:8" s="17" customFormat="1" ht="13.5" customHeight="1">
      <c r="A15" s="115"/>
      <c r="B15" s="116"/>
      <c r="C15" s="116"/>
      <c r="D15" s="116"/>
      <c r="E15" s="116"/>
      <c r="F15" s="116"/>
      <c r="G15" s="116"/>
    </row>
    <row r="16" spans="1:8" s="17" customFormat="1">
      <c r="A16" s="117"/>
      <c r="B16" s="117"/>
      <c r="C16" s="117"/>
      <c r="D16" s="117"/>
      <c r="E16" s="117"/>
      <c r="F16" s="117"/>
      <c r="G16" s="117"/>
    </row>
    <row r="19" spans="3:3" ht="24" customHeight="1"/>
    <row r="20" spans="3:3" ht="20.399999999999999">
      <c r="C20" s="18" ph="1"/>
    </row>
    <row r="22" spans="3:3" ht="20.399999999999999">
      <c r="C22" s="18" ph="1"/>
    </row>
    <row r="25" spans="3:3" ht="20.399999999999999">
      <c r="C25" s="18" ph="1"/>
    </row>
  </sheetData>
  <sheetProtection formatCells="0" formatColumns="0" formatRows="0" insertColumns="0" insertRows="0"/>
  <mergeCells count="7">
    <mergeCell ref="A15:G16"/>
    <mergeCell ref="A8:A14"/>
    <mergeCell ref="A2:C2"/>
    <mergeCell ref="E2:G2"/>
    <mergeCell ref="A1:C1"/>
    <mergeCell ref="E1:G1"/>
    <mergeCell ref="A3:G3"/>
  </mergeCells>
  <phoneticPr fontId="2"/>
  <printOptions horizontalCentered="1"/>
  <pageMargins left="0.59055118110236227" right="0.59055118110236227" top="0.78740157480314965" bottom="0.39370078740157483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H19"/>
  <sheetViews>
    <sheetView showGridLines="0" view="pageBreakPreview" topLeftCell="B1" zoomScaleNormal="100" zoomScaleSheetLayoutView="100" workbookViewId="0">
      <selection activeCell="C10" sqref="C10"/>
    </sheetView>
  </sheetViews>
  <sheetFormatPr defaultColWidth="9" defaultRowHeight="13.2"/>
  <cols>
    <col min="1" max="1" width="3" style="18" hidden="1" customWidth="1"/>
    <col min="2" max="2" width="3.109375" style="18" customWidth="1"/>
    <col min="3" max="3" width="60.6640625" style="18" customWidth="1"/>
    <col min="4" max="7" width="6.6640625" style="18" customWidth="1"/>
    <col min="8" max="16384" width="9" style="18"/>
  </cols>
  <sheetData>
    <row r="1" spans="1:8" s="26" customFormat="1" ht="33" customHeight="1">
      <c r="A1" s="122" t="s">
        <v>74</v>
      </c>
      <c r="B1" s="122"/>
      <c r="C1" s="122"/>
      <c r="D1" s="25"/>
      <c r="E1" s="121" t="s">
        <v>37</v>
      </c>
      <c r="F1" s="121"/>
      <c r="G1" s="121"/>
    </row>
    <row r="2" spans="1:8" s="26" customFormat="1" ht="33" customHeight="1">
      <c r="A2" s="119" t="s">
        <v>36</v>
      </c>
      <c r="B2" s="120"/>
      <c r="C2" s="120"/>
      <c r="D2" s="25" t="s">
        <v>35</v>
      </c>
      <c r="E2" s="121"/>
      <c r="F2" s="121"/>
      <c r="G2" s="121"/>
    </row>
    <row r="3" spans="1:8" s="27" customFormat="1" ht="33" customHeight="1" thickBot="1">
      <c r="A3" s="123" t="s">
        <v>32</v>
      </c>
      <c r="B3" s="123"/>
      <c r="C3" s="123"/>
      <c r="D3" s="123"/>
      <c r="E3" s="123"/>
      <c r="F3" s="123"/>
      <c r="G3" s="123"/>
    </row>
    <row r="4" spans="1:8" s="4" customFormat="1" ht="84.9" customHeight="1" thickBot="1">
      <c r="A4" s="40"/>
      <c r="B4" s="55" t="s">
        <v>1</v>
      </c>
      <c r="C4" s="1" t="s" ph="1">
        <v>24</v>
      </c>
      <c r="D4" s="2" t="s">
        <v>2</v>
      </c>
      <c r="E4" s="2" t="s">
        <v>19</v>
      </c>
      <c r="F4" s="2" t="s">
        <v>20</v>
      </c>
      <c r="G4" s="16" t="s">
        <v>5</v>
      </c>
      <c r="H4" s="3"/>
    </row>
    <row r="5" spans="1:8" s="4" customFormat="1" ht="63" customHeight="1">
      <c r="A5" s="53"/>
      <c r="B5" s="95">
        <v>1</v>
      </c>
      <c r="C5" s="96" t="s" ph="1">
        <v>54</v>
      </c>
      <c r="D5" s="97">
        <v>4</v>
      </c>
      <c r="E5" s="97">
        <v>3</v>
      </c>
      <c r="F5" s="97">
        <v>2</v>
      </c>
      <c r="G5" s="98">
        <v>1</v>
      </c>
      <c r="H5" s="3"/>
    </row>
    <row r="6" spans="1:8" s="4" customFormat="1" ht="63" customHeight="1">
      <c r="A6" s="53"/>
      <c r="B6" s="57">
        <v>2</v>
      </c>
      <c r="C6" s="89" t="s" ph="1">
        <v>55</v>
      </c>
      <c r="D6" s="7">
        <v>4</v>
      </c>
      <c r="E6" s="7">
        <v>3</v>
      </c>
      <c r="F6" s="7">
        <v>2</v>
      </c>
      <c r="G6" s="8">
        <v>1</v>
      </c>
      <c r="H6" s="3"/>
    </row>
    <row r="7" spans="1:8" s="4" customFormat="1" ht="63" customHeight="1">
      <c r="A7" s="54"/>
      <c r="B7" s="57">
        <v>3</v>
      </c>
      <c r="C7" s="88" t="s" ph="1">
        <v>56</v>
      </c>
      <c r="D7" s="7">
        <v>4</v>
      </c>
      <c r="E7" s="7">
        <v>3</v>
      </c>
      <c r="F7" s="7">
        <v>2</v>
      </c>
      <c r="G7" s="8">
        <v>1</v>
      </c>
      <c r="H7" s="3"/>
    </row>
    <row r="8" spans="1:8" s="4" customFormat="1" ht="63" customHeight="1">
      <c r="A8" s="118"/>
      <c r="B8" s="58">
        <v>4</v>
      </c>
      <c r="C8" s="88" t="s">
        <v>33</v>
      </c>
      <c r="D8" s="7">
        <v>4</v>
      </c>
      <c r="E8" s="7">
        <v>3</v>
      </c>
      <c r="F8" s="7">
        <v>2</v>
      </c>
      <c r="G8" s="8">
        <v>1</v>
      </c>
    </row>
    <row r="9" spans="1:8" s="4" customFormat="1" ht="63" customHeight="1">
      <c r="A9" s="118"/>
      <c r="B9" s="58">
        <v>5</v>
      </c>
      <c r="C9" s="88" t="s" ph="1">
        <v>57</v>
      </c>
      <c r="D9" s="7">
        <v>4</v>
      </c>
      <c r="E9" s="7">
        <v>3</v>
      </c>
      <c r="F9" s="7">
        <v>2</v>
      </c>
      <c r="G9" s="8">
        <v>1</v>
      </c>
    </row>
    <row r="10" spans="1:8" s="4" customFormat="1" ht="63" customHeight="1">
      <c r="A10" s="118"/>
      <c r="B10" s="57">
        <v>6</v>
      </c>
      <c r="C10" s="87" t="s">
        <v>75</v>
      </c>
      <c r="D10" s="7">
        <v>4</v>
      </c>
      <c r="E10" s="7">
        <v>3</v>
      </c>
      <c r="F10" s="7">
        <v>2</v>
      </c>
      <c r="G10" s="8">
        <v>1</v>
      </c>
    </row>
    <row r="11" spans="1:8" s="4" customFormat="1" ht="63" customHeight="1">
      <c r="A11" s="118"/>
      <c r="B11" s="58">
        <v>7</v>
      </c>
      <c r="C11" s="88" t="s">
        <v>53</v>
      </c>
      <c r="D11" s="7">
        <v>4</v>
      </c>
      <c r="E11" s="7">
        <v>3</v>
      </c>
      <c r="F11" s="7">
        <v>2</v>
      </c>
      <c r="G11" s="8">
        <v>1</v>
      </c>
    </row>
    <row r="12" spans="1:8" s="4" customFormat="1" ht="63" customHeight="1">
      <c r="A12" s="118"/>
      <c r="B12" s="59">
        <v>8</v>
      </c>
      <c r="C12" s="87" t="s">
        <v>67</v>
      </c>
      <c r="D12" s="7">
        <v>4</v>
      </c>
      <c r="E12" s="7">
        <v>3</v>
      </c>
      <c r="F12" s="7">
        <v>2</v>
      </c>
      <c r="G12" s="8">
        <v>1</v>
      </c>
    </row>
    <row r="13" spans="1:8" s="4" customFormat="1" ht="63" customHeight="1">
      <c r="A13" s="118"/>
      <c r="B13" s="58">
        <v>9</v>
      </c>
      <c r="C13" s="93" t="s">
        <v>68</v>
      </c>
      <c r="D13" s="7">
        <v>4</v>
      </c>
      <c r="E13" s="7">
        <v>3</v>
      </c>
      <c r="F13" s="7">
        <v>2</v>
      </c>
      <c r="G13" s="8">
        <v>1</v>
      </c>
    </row>
    <row r="14" spans="1:8" s="4" customFormat="1" ht="63" customHeight="1" thickBot="1">
      <c r="A14" s="118"/>
      <c r="B14" s="60">
        <v>10</v>
      </c>
      <c r="C14" s="94" t="s" ph="1">
        <v>69</v>
      </c>
      <c r="D14" s="12">
        <v>4</v>
      </c>
      <c r="E14" s="12">
        <v>3</v>
      </c>
      <c r="F14" s="12">
        <v>2</v>
      </c>
      <c r="G14" s="46">
        <v>1</v>
      </c>
    </row>
    <row r="15" spans="1:8" s="17" customFormat="1" ht="13.5" customHeight="1">
      <c r="A15" s="115"/>
      <c r="B15" s="116"/>
      <c r="C15" s="116"/>
      <c r="D15" s="116"/>
      <c r="E15" s="116"/>
      <c r="F15" s="116"/>
      <c r="G15" s="116"/>
    </row>
    <row r="16" spans="1:8" s="17" customFormat="1">
      <c r="A16" s="117"/>
      <c r="B16" s="117"/>
      <c r="C16" s="117"/>
      <c r="D16" s="117"/>
      <c r="E16" s="117"/>
      <c r="F16" s="117"/>
      <c r="G16" s="117"/>
    </row>
    <row r="19" ht="24" customHeight="1"/>
  </sheetData>
  <sheetProtection selectLockedCells="1"/>
  <mergeCells count="7">
    <mergeCell ref="A15:G16"/>
    <mergeCell ref="A1:C1"/>
    <mergeCell ref="E1:G1"/>
    <mergeCell ref="A2:C2"/>
    <mergeCell ref="E2:G2"/>
    <mergeCell ref="A3:G3"/>
    <mergeCell ref="A8:A14"/>
  </mergeCells>
  <phoneticPr fontId="2"/>
  <printOptions horizontalCentered="1"/>
  <pageMargins left="0.59055118110236227" right="0.59055118110236227" top="0.78740157480314965" bottom="0.39370078740157483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/>
  </sheetPr>
  <dimension ref="A1:O18"/>
  <sheetViews>
    <sheetView showGridLines="0" view="pageBreakPreview" zoomScaleNormal="100" zoomScaleSheetLayoutView="100" workbookViewId="0">
      <selection activeCell="D4" sqref="D4"/>
    </sheetView>
  </sheetViews>
  <sheetFormatPr defaultColWidth="9" defaultRowHeight="13.2"/>
  <cols>
    <col min="1" max="1" width="5" style="18" customWidth="1"/>
    <col min="2" max="2" width="3.109375" style="18" customWidth="1"/>
    <col min="3" max="3" width="52.33203125" style="18" customWidth="1"/>
    <col min="4" max="14" width="6.77734375" style="18" customWidth="1"/>
    <col min="15" max="15" width="6.77734375" style="23" customWidth="1"/>
    <col min="16" max="16384" width="9" style="18"/>
  </cols>
  <sheetData>
    <row r="1" spans="1:15" s="30" customFormat="1" ht="20.25" customHeight="1" thickBot="1">
      <c r="A1" s="126" t="str">
        <f>'１・２年印刷用'!A1</f>
        <v>道徳意識調査　（小学校１・２年生用）</v>
      </c>
      <c r="B1" s="126"/>
      <c r="C1" s="126"/>
      <c r="D1" s="29"/>
      <c r="E1" s="48"/>
      <c r="F1" s="48"/>
      <c r="G1" s="47" t="s">
        <v>16</v>
      </c>
      <c r="H1" s="79"/>
      <c r="I1" s="68" t="s">
        <v>17</v>
      </c>
      <c r="J1" s="129" t="s">
        <v>9</v>
      </c>
      <c r="K1" s="130"/>
      <c r="L1" s="130"/>
      <c r="M1" s="130"/>
      <c r="N1" s="130"/>
      <c r="O1" s="130"/>
    </row>
    <row r="2" spans="1:15" s="15" customFormat="1" ht="20.25" customHeight="1">
      <c r="A2" s="141"/>
      <c r="B2" s="127" t="s">
        <v>1</v>
      </c>
      <c r="C2" s="127" t="str">
        <f>IF('１・２年印刷用'!C4="","",'１・２年印刷用'!C4)</f>
        <v>質　問　項　目</v>
      </c>
      <c r="D2" s="148" t="s">
        <v>31</v>
      </c>
      <c r="E2" s="148"/>
      <c r="F2" s="148"/>
      <c r="G2" s="148"/>
      <c r="H2" s="148"/>
      <c r="I2" s="149"/>
      <c r="J2" s="145" t="s">
        <v>8</v>
      </c>
      <c r="K2" s="146"/>
      <c r="L2" s="146"/>
      <c r="M2" s="146"/>
      <c r="N2" s="146"/>
      <c r="O2" s="147"/>
    </row>
    <row r="3" spans="1:15" s="4" customFormat="1" ht="97.5" customHeight="1" thickBot="1">
      <c r="A3" s="142"/>
      <c r="B3" s="128"/>
      <c r="C3" s="128"/>
      <c r="D3" s="36" t="s">
        <v>2</v>
      </c>
      <c r="E3" s="36" t="s">
        <v>3</v>
      </c>
      <c r="F3" s="36" t="s">
        <v>4</v>
      </c>
      <c r="G3" s="36" t="s">
        <v>5</v>
      </c>
      <c r="H3" s="37" t="s">
        <v>6</v>
      </c>
      <c r="I3" s="38" t="s">
        <v>7</v>
      </c>
      <c r="J3" s="39" t="s">
        <v>2</v>
      </c>
      <c r="K3" s="36" t="s">
        <v>3</v>
      </c>
      <c r="L3" s="36" t="s">
        <v>4</v>
      </c>
      <c r="M3" s="36" t="s">
        <v>5</v>
      </c>
      <c r="N3" s="42" t="s">
        <v>7</v>
      </c>
      <c r="O3" s="45" t="s">
        <v>30</v>
      </c>
    </row>
    <row r="4" spans="1:15" s="4" customFormat="1" ht="45" customHeight="1" thickTop="1">
      <c r="A4" s="131" t="s">
        <v>71</v>
      </c>
      <c r="B4" s="10">
        <v>1</v>
      </c>
      <c r="C4" s="31" t="str">
        <f>'１・２年印刷用'!C5</f>
        <v>どうとくのべんきょうは、すきだ。</v>
      </c>
      <c r="D4" s="13"/>
      <c r="E4" s="13"/>
      <c r="F4" s="13"/>
      <c r="G4" s="13"/>
      <c r="H4" s="32">
        <f>SUM(D4:G4)</f>
        <v>0</v>
      </c>
      <c r="I4" s="33">
        <f>SUM(D4:E4)</f>
        <v>0</v>
      </c>
      <c r="J4" s="34" t="e">
        <f>D4/H4</f>
        <v>#DIV/0!</v>
      </c>
      <c r="K4" s="35" t="e">
        <f>E4/ H4</f>
        <v>#DIV/0!</v>
      </c>
      <c r="L4" s="35" t="e">
        <f>F4/H4</f>
        <v>#DIV/0!</v>
      </c>
      <c r="M4" s="35" t="e">
        <f>G4/H4</f>
        <v>#DIV/0!</v>
      </c>
      <c r="N4" s="43" t="e">
        <f>I4/H4</f>
        <v>#DIV/0!</v>
      </c>
      <c r="O4" s="143" t="e">
        <f>AVERAGE(N4:N5)</f>
        <v>#DIV/0!</v>
      </c>
    </row>
    <row r="5" spans="1:15" s="4" customFormat="1" ht="45" customHeight="1">
      <c r="A5" s="132"/>
      <c r="B5" s="9">
        <v>2</v>
      </c>
      <c r="C5" s="11" t="str">
        <f>'１・２年印刷用'!C6</f>
        <v>どうとくのじゅぎょうでは、じぶんのかんがえをつたえたり、ほかの人のかんがえをきいたりしながら、じぶんのことについてよくかんがえている。</v>
      </c>
      <c r="D5" s="14"/>
      <c r="E5" s="14"/>
      <c r="F5" s="14"/>
      <c r="G5" s="14"/>
      <c r="H5" s="20">
        <f t="shared" ref="H5:H13" si="0">SUM(D5:G5)</f>
        <v>0</v>
      </c>
      <c r="I5" s="24">
        <f t="shared" ref="I5:I13" si="1">SUM(D5:E5)</f>
        <v>0</v>
      </c>
      <c r="J5" s="22" t="e">
        <f t="shared" ref="J5:J13" si="2">D5/H5</f>
        <v>#DIV/0!</v>
      </c>
      <c r="K5" s="21" t="e">
        <f t="shared" ref="K5:K13" si="3">E5/ H5</f>
        <v>#DIV/0!</v>
      </c>
      <c r="L5" s="21" t="e">
        <f t="shared" ref="L5:L13" si="4">F5/H5</f>
        <v>#DIV/0!</v>
      </c>
      <c r="M5" s="21" t="e">
        <f t="shared" ref="M5:M13" si="5">G5/H5</f>
        <v>#DIV/0!</v>
      </c>
      <c r="N5" s="44" t="e">
        <f t="shared" ref="N5:N13" si="6">I5/H5</f>
        <v>#DIV/0!</v>
      </c>
      <c r="O5" s="144"/>
    </row>
    <row r="6" spans="1:15" s="4" customFormat="1" ht="45" customHeight="1">
      <c r="A6" s="133" t="s">
        <v>0</v>
      </c>
      <c r="B6" s="9">
        <v>3</v>
      </c>
      <c r="C6" s="31" t="str">
        <f>'１・２年印刷用'!C7</f>
        <v>がんばってやって、うれしかったことがある。</v>
      </c>
      <c r="D6" s="14"/>
      <c r="E6" s="14"/>
      <c r="F6" s="14"/>
      <c r="G6" s="14"/>
      <c r="H6" s="20">
        <f t="shared" si="0"/>
        <v>0</v>
      </c>
      <c r="I6" s="24">
        <f t="shared" si="1"/>
        <v>0</v>
      </c>
      <c r="J6" s="22" t="e">
        <f t="shared" si="2"/>
        <v>#DIV/0!</v>
      </c>
      <c r="K6" s="21" t="e">
        <f t="shared" si="3"/>
        <v>#DIV/0!</v>
      </c>
      <c r="L6" s="21" t="e">
        <f t="shared" si="4"/>
        <v>#DIV/0!</v>
      </c>
      <c r="M6" s="21" t="e">
        <f t="shared" si="5"/>
        <v>#DIV/0!</v>
      </c>
      <c r="N6" s="44" t="e">
        <f t="shared" si="6"/>
        <v>#DIV/0!</v>
      </c>
      <c r="O6" s="138" t="e">
        <f>AVERAGE(N6:N7)</f>
        <v>#DIV/0!</v>
      </c>
    </row>
    <row r="7" spans="1:15" s="4" customFormat="1" ht="45" customHeight="1">
      <c r="A7" s="134"/>
      <c r="B7" s="9">
        <v>4</v>
      </c>
      <c r="C7" s="28" t="str">
        <f>'１・２年印刷用'!C8</f>
        <v>じぶんには、よいところがあると思う。</v>
      </c>
      <c r="D7" s="14"/>
      <c r="E7" s="14"/>
      <c r="F7" s="14"/>
      <c r="G7" s="14"/>
      <c r="H7" s="20">
        <f t="shared" si="0"/>
        <v>0</v>
      </c>
      <c r="I7" s="24">
        <f t="shared" si="1"/>
        <v>0</v>
      </c>
      <c r="J7" s="22" t="e">
        <f t="shared" si="2"/>
        <v>#DIV/0!</v>
      </c>
      <c r="K7" s="21" t="e">
        <f t="shared" si="3"/>
        <v>#DIV/0!</v>
      </c>
      <c r="L7" s="21" t="e">
        <f t="shared" si="4"/>
        <v>#DIV/0!</v>
      </c>
      <c r="M7" s="21" t="e">
        <f t="shared" si="5"/>
        <v>#DIV/0!</v>
      </c>
      <c r="N7" s="44" t="e">
        <f t="shared" si="6"/>
        <v>#DIV/0!</v>
      </c>
      <c r="O7" s="144"/>
    </row>
    <row r="8" spans="1:15" s="4" customFormat="1" ht="45" customHeight="1">
      <c r="A8" s="92" t="s">
        <v>58</v>
      </c>
      <c r="B8" s="9">
        <v>5</v>
      </c>
      <c r="C8" s="31" t="str">
        <f>'１・２年印刷用'!C9</f>
        <v>がんばりたいことやもくひょうをもっている。</v>
      </c>
      <c r="D8" s="14"/>
      <c r="E8" s="14"/>
      <c r="F8" s="14"/>
      <c r="G8" s="14"/>
      <c r="H8" s="20">
        <f t="shared" si="0"/>
        <v>0</v>
      </c>
      <c r="I8" s="24">
        <f t="shared" si="1"/>
        <v>0</v>
      </c>
      <c r="J8" s="22" t="e">
        <f t="shared" si="2"/>
        <v>#DIV/0!</v>
      </c>
      <c r="K8" s="21" t="e">
        <f t="shared" si="3"/>
        <v>#DIV/0!</v>
      </c>
      <c r="L8" s="21" t="e">
        <f t="shared" si="4"/>
        <v>#DIV/0!</v>
      </c>
      <c r="M8" s="21" t="e">
        <f t="shared" si="5"/>
        <v>#DIV/0!</v>
      </c>
      <c r="N8" s="44" t="e">
        <f t="shared" si="6"/>
        <v>#DIV/0!</v>
      </c>
      <c r="O8" s="113" t="e">
        <f>AVERAGE(N8)</f>
        <v>#DIV/0!</v>
      </c>
    </row>
    <row r="9" spans="1:15" s="4" customFormat="1" ht="45" customHeight="1">
      <c r="A9" s="135" t="s">
        <v>59</v>
      </c>
      <c r="B9" s="9">
        <v>6</v>
      </c>
      <c r="C9" s="31" t="str">
        <f>'１・２年印刷用'!C10</f>
        <v>人の気もちがわかるにんげんになりたいと思う。</v>
      </c>
      <c r="D9" s="14"/>
      <c r="E9" s="14"/>
      <c r="F9" s="14"/>
      <c r="G9" s="14"/>
      <c r="H9" s="20">
        <f t="shared" si="0"/>
        <v>0</v>
      </c>
      <c r="I9" s="24">
        <f t="shared" si="1"/>
        <v>0</v>
      </c>
      <c r="J9" s="22" t="e">
        <f t="shared" si="2"/>
        <v>#DIV/0!</v>
      </c>
      <c r="K9" s="21" t="e">
        <f>E9/ H9</f>
        <v>#DIV/0!</v>
      </c>
      <c r="L9" s="21" t="e">
        <f t="shared" si="4"/>
        <v>#DIV/0!</v>
      </c>
      <c r="M9" s="21" t="e">
        <f t="shared" si="5"/>
        <v>#DIV/0!</v>
      </c>
      <c r="N9" s="44" t="e">
        <f t="shared" si="6"/>
        <v>#DIV/0!</v>
      </c>
      <c r="O9" s="138" t="e">
        <f>AVERAGE(N9:N10)</f>
        <v>#DIV/0!</v>
      </c>
    </row>
    <row r="10" spans="1:15" s="4" customFormat="1" ht="45" customHeight="1">
      <c r="A10" s="136"/>
      <c r="B10" s="9">
        <v>7</v>
      </c>
      <c r="C10" s="28" t="str">
        <f>'１・２年印刷用'!C11</f>
        <v>いじめはどんなりゆうがあっても、いけないことだと思う。</v>
      </c>
      <c r="D10" s="14"/>
      <c r="E10" s="14"/>
      <c r="F10" s="14"/>
      <c r="G10" s="14"/>
      <c r="H10" s="20">
        <f t="shared" si="0"/>
        <v>0</v>
      </c>
      <c r="I10" s="24">
        <f t="shared" si="1"/>
        <v>0</v>
      </c>
      <c r="J10" s="22" t="e">
        <f t="shared" si="2"/>
        <v>#DIV/0!</v>
      </c>
      <c r="K10" s="21" t="e">
        <f t="shared" si="3"/>
        <v>#DIV/0!</v>
      </c>
      <c r="L10" s="21" t="e">
        <f t="shared" si="4"/>
        <v>#DIV/0!</v>
      </c>
      <c r="M10" s="21" t="e">
        <f t="shared" si="5"/>
        <v>#DIV/0!</v>
      </c>
      <c r="N10" s="44" t="e">
        <f t="shared" si="6"/>
        <v>#DIV/0!</v>
      </c>
      <c r="O10" s="140"/>
    </row>
    <row r="11" spans="1:15" s="4" customFormat="1" ht="45" customHeight="1">
      <c r="A11" s="92" t="s">
        <v>60</v>
      </c>
      <c r="B11" s="9">
        <v>8</v>
      </c>
      <c r="C11" s="31" t="str">
        <f>'１・２年印刷用'!C12</f>
        <v>がっこうのきまりをまもっている。</v>
      </c>
      <c r="D11" s="14"/>
      <c r="E11" s="14"/>
      <c r="F11" s="14"/>
      <c r="G11" s="14"/>
      <c r="H11" s="20">
        <f t="shared" si="0"/>
        <v>0</v>
      </c>
      <c r="I11" s="24">
        <f t="shared" si="1"/>
        <v>0</v>
      </c>
      <c r="J11" s="22" t="e">
        <f t="shared" si="2"/>
        <v>#DIV/0!</v>
      </c>
      <c r="K11" s="21" t="e">
        <f t="shared" si="3"/>
        <v>#DIV/0!</v>
      </c>
      <c r="L11" s="21" t="e">
        <f t="shared" si="4"/>
        <v>#DIV/0!</v>
      </c>
      <c r="M11" s="21" t="e">
        <f t="shared" si="5"/>
        <v>#DIV/0!</v>
      </c>
      <c r="N11" s="44" t="e">
        <f t="shared" si="6"/>
        <v>#DIV/0!</v>
      </c>
      <c r="O11" s="114" t="e">
        <f>AVERAGE(N11)</f>
        <v>#DIV/0!</v>
      </c>
    </row>
    <row r="12" spans="1:15" s="4" customFormat="1" ht="45" customHeight="1">
      <c r="A12" s="135" t="s">
        <v>70</v>
      </c>
      <c r="B12" s="9">
        <v>9</v>
      </c>
      <c r="C12" s="28" t="str">
        <f>'１・２年印刷用'!C13</f>
        <v>ともだちやかぞくのやくに立ちたいと思う。</v>
      </c>
      <c r="D12" s="14"/>
      <c r="E12" s="14"/>
      <c r="F12" s="14"/>
      <c r="G12" s="14"/>
      <c r="H12" s="20">
        <f t="shared" si="0"/>
        <v>0</v>
      </c>
      <c r="I12" s="24">
        <f t="shared" si="1"/>
        <v>0</v>
      </c>
      <c r="J12" s="22" t="e">
        <f t="shared" si="2"/>
        <v>#DIV/0!</v>
      </c>
      <c r="K12" s="21" t="e">
        <f t="shared" si="3"/>
        <v>#DIV/0!</v>
      </c>
      <c r="L12" s="21" t="e">
        <f t="shared" si="4"/>
        <v>#DIV/0!</v>
      </c>
      <c r="M12" s="21" t="e">
        <f t="shared" si="5"/>
        <v>#DIV/0!</v>
      </c>
      <c r="N12" s="44" t="e">
        <f t="shared" si="6"/>
        <v>#DIV/0!</v>
      </c>
      <c r="O12" s="138" t="e">
        <f>AVERAGE(N12:N13)</f>
        <v>#DIV/0!</v>
      </c>
    </row>
    <row r="13" spans="1:15" s="4" customFormat="1" ht="45" customHeight="1" thickBot="1">
      <c r="A13" s="137"/>
      <c r="B13" s="12">
        <v>10</v>
      </c>
      <c r="C13" s="105" t="str">
        <f>'１・２年印刷用'!C14</f>
        <v>じぶんのすんでいるちいきがすきだ。</v>
      </c>
      <c r="D13" s="106"/>
      <c r="E13" s="106"/>
      <c r="F13" s="106"/>
      <c r="G13" s="106"/>
      <c r="H13" s="100">
        <f t="shared" si="0"/>
        <v>0</v>
      </c>
      <c r="I13" s="101">
        <f t="shared" si="1"/>
        <v>0</v>
      </c>
      <c r="J13" s="102" t="e">
        <f t="shared" si="2"/>
        <v>#DIV/0!</v>
      </c>
      <c r="K13" s="103" t="e">
        <f t="shared" si="3"/>
        <v>#DIV/0!</v>
      </c>
      <c r="L13" s="103" t="e">
        <f t="shared" si="4"/>
        <v>#DIV/0!</v>
      </c>
      <c r="M13" s="103" t="e">
        <f t="shared" si="5"/>
        <v>#DIV/0!</v>
      </c>
      <c r="N13" s="104" t="e">
        <f t="shared" si="6"/>
        <v>#DIV/0!</v>
      </c>
      <c r="O13" s="139"/>
    </row>
    <row r="14" spans="1:15" ht="22.5" customHeight="1">
      <c r="A14" s="124"/>
      <c r="B14" s="125"/>
      <c r="C14" s="125"/>
      <c r="D14" s="125"/>
      <c r="E14" s="125"/>
      <c r="F14" s="125"/>
      <c r="G14" s="125"/>
    </row>
    <row r="17" ht="24" customHeight="1"/>
    <row r="18" ht="24" customHeight="1"/>
  </sheetData>
  <sheetProtection formatCells="0"/>
  <mergeCells count="16">
    <mergeCell ref="A14:G14"/>
    <mergeCell ref="A1:C1"/>
    <mergeCell ref="C2:C3"/>
    <mergeCell ref="J1:O1"/>
    <mergeCell ref="A4:A5"/>
    <mergeCell ref="A6:A7"/>
    <mergeCell ref="A9:A10"/>
    <mergeCell ref="A12:A13"/>
    <mergeCell ref="O12:O13"/>
    <mergeCell ref="O9:O10"/>
    <mergeCell ref="B2:B3"/>
    <mergeCell ref="A2:A3"/>
    <mergeCell ref="O4:O5"/>
    <mergeCell ref="O6:O7"/>
    <mergeCell ref="J2:O2"/>
    <mergeCell ref="D2:I2"/>
  </mergeCells>
  <phoneticPr fontId="2"/>
  <conditionalFormatting sqref="H1 D4:G13">
    <cfRule type="containsBlanks" dxfId="14" priority="3" stopIfTrue="1">
      <formula>LEN(TRIM(D1))=0</formula>
    </cfRule>
  </conditionalFormatting>
  <conditionalFormatting sqref="H1 D4:G13">
    <cfRule type="containsBlanks" dxfId="13" priority="1" stopIfTrue="1">
      <formula>LEN(TRIM(D1))=0</formula>
    </cfRule>
  </conditionalFormatting>
  <pageMargins left="0.39370078740157483" right="0.39370078740157483" top="0.39370078740157483" bottom="0.39370078740157483" header="0.51181102362204722" footer="0.51181102362204722"/>
  <pageSetup paperSize="9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/>
  </sheetPr>
  <dimension ref="A1:O18"/>
  <sheetViews>
    <sheetView showGridLines="0" view="pageBreakPreview" zoomScaleNormal="100" zoomScaleSheetLayoutView="100" workbookViewId="0">
      <selection activeCell="F7" sqref="F7"/>
    </sheetView>
  </sheetViews>
  <sheetFormatPr defaultColWidth="9" defaultRowHeight="13.2"/>
  <cols>
    <col min="1" max="1" width="5" style="18" customWidth="1"/>
    <col min="2" max="2" width="3.109375" style="18" customWidth="1"/>
    <col min="3" max="3" width="52.33203125" style="18" customWidth="1"/>
    <col min="4" max="14" width="6.77734375" style="18" customWidth="1"/>
    <col min="15" max="15" width="6.77734375" style="23" customWidth="1"/>
    <col min="16" max="16384" width="9" style="18"/>
  </cols>
  <sheetData>
    <row r="1" spans="1:15" s="30" customFormat="1" ht="20.25" customHeight="1" thickBot="1">
      <c r="A1" s="126" t="str">
        <f>'１・２年印刷用'!A1</f>
        <v>道徳意識調査　（小学校１・２年生用）</v>
      </c>
      <c r="B1" s="126"/>
      <c r="C1" s="126"/>
      <c r="D1" s="29"/>
      <c r="E1" s="48"/>
      <c r="F1" s="48"/>
      <c r="G1" s="47" t="s">
        <v>16</v>
      </c>
      <c r="H1" s="79"/>
      <c r="I1" s="68" t="s">
        <v>17</v>
      </c>
      <c r="J1" s="129" t="s">
        <v>10</v>
      </c>
      <c r="K1" s="130"/>
      <c r="L1" s="130"/>
      <c r="M1" s="130"/>
      <c r="N1" s="130"/>
      <c r="O1" s="130"/>
    </row>
    <row r="2" spans="1:15" s="15" customFormat="1" ht="20.25" customHeight="1">
      <c r="A2" s="141"/>
      <c r="B2" s="127" t="s">
        <v>1</v>
      </c>
      <c r="C2" s="127" t="str">
        <f>IF('１・２年印刷用'!C4="","",'１・２年印刷用'!C4)</f>
        <v>質　問　項　目</v>
      </c>
      <c r="D2" s="148" t="s">
        <v>31</v>
      </c>
      <c r="E2" s="148"/>
      <c r="F2" s="148"/>
      <c r="G2" s="148"/>
      <c r="H2" s="148"/>
      <c r="I2" s="149"/>
      <c r="J2" s="145" t="s">
        <v>8</v>
      </c>
      <c r="K2" s="146"/>
      <c r="L2" s="146"/>
      <c r="M2" s="146"/>
      <c r="N2" s="146"/>
      <c r="O2" s="147"/>
    </row>
    <row r="3" spans="1:15" s="4" customFormat="1" ht="97.5" customHeight="1" thickBot="1">
      <c r="A3" s="142"/>
      <c r="B3" s="128"/>
      <c r="C3" s="128"/>
      <c r="D3" s="36" t="s">
        <v>2</v>
      </c>
      <c r="E3" s="36" t="s">
        <v>3</v>
      </c>
      <c r="F3" s="36" t="s">
        <v>4</v>
      </c>
      <c r="G3" s="36" t="s">
        <v>5</v>
      </c>
      <c r="H3" s="37" t="s">
        <v>6</v>
      </c>
      <c r="I3" s="38" t="s">
        <v>7</v>
      </c>
      <c r="J3" s="39" t="s">
        <v>2</v>
      </c>
      <c r="K3" s="36" t="s">
        <v>3</v>
      </c>
      <c r="L3" s="36" t="s">
        <v>4</v>
      </c>
      <c r="M3" s="36" t="s">
        <v>5</v>
      </c>
      <c r="N3" s="42" t="s">
        <v>7</v>
      </c>
      <c r="O3" s="45" t="s">
        <v>30</v>
      </c>
    </row>
    <row r="4" spans="1:15" s="4" customFormat="1" ht="45" customHeight="1" thickTop="1">
      <c r="A4" s="150" t="s">
        <v>71</v>
      </c>
      <c r="B4" s="10">
        <v>1</v>
      </c>
      <c r="C4" s="31" t="str">
        <f>'１・２年印刷用'!C5</f>
        <v>どうとくのべんきょうは、すきだ。</v>
      </c>
      <c r="D4" s="13"/>
      <c r="E4" s="14"/>
      <c r="F4" s="14"/>
      <c r="G4" s="14"/>
      <c r="H4" s="32">
        <f>SUM(D4:G4)</f>
        <v>0</v>
      </c>
      <c r="I4" s="33">
        <f>SUM(D4:E4)</f>
        <v>0</v>
      </c>
      <c r="J4" s="34" t="e">
        <f>D4/H4</f>
        <v>#DIV/0!</v>
      </c>
      <c r="K4" s="35" t="e">
        <f>E4/ H4</f>
        <v>#DIV/0!</v>
      </c>
      <c r="L4" s="35" t="e">
        <f>F4/H4</f>
        <v>#DIV/0!</v>
      </c>
      <c r="M4" s="35" t="e">
        <f>G4/H4</f>
        <v>#DIV/0!</v>
      </c>
      <c r="N4" s="43" t="e">
        <f>I4/H4</f>
        <v>#DIV/0!</v>
      </c>
      <c r="O4" s="151" t="e">
        <f>AVERAGE(N4:N5)</f>
        <v>#DIV/0!</v>
      </c>
    </row>
    <row r="5" spans="1:15" s="4" customFormat="1" ht="45" customHeight="1">
      <c r="A5" s="132"/>
      <c r="B5" s="9">
        <v>2</v>
      </c>
      <c r="C5" s="11" t="str">
        <f>'１・２年印刷用'!C6</f>
        <v>どうとくのじゅぎょうでは、じぶんのかんがえをつたえたり、ほかの人のかんがえをきいたりしながら、じぶんのことについてよくかんがえている。</v>
      </c>
      <c r="D5" s="14"/>
      <c r="E5" s="14"/>
      <c r="F5" s="14"/>
      <c r="G5" s="14"/>
      <c r="H5" s="20">
        <f t="shared" ref="H5:H12" si="0">SUM(D5:G5)</f>
        <v>0</v>
      </c>
      <c r="I5" s="24">
        <f t="shared" ref="I5:I12" si="1">SUM(D5:E5)</f>
        <v>0</v>
      </c>
      <c r="J5" s="22" t="e">
        <f t="shared" ref="J5:J12" si="2">D5/H5</f>
        <v>#DIV/0!</v>
      </c>
      <c r="K5" s="21" t="e">
        <f t="shared" ref="K5:K13" si="3">E5/ H5</f>
        <v>#DIV/0!</v>
      </c>
      <c r="L5" s="21" t="e">
        <f t="shared" ref="L5:L13" si="4">F5/H5</f>
        <v>#DIV/0!</v>
      </c>
      <c r="M5" s="21" t="e">
        <f t="shared" ref="M5:M13" si="5">G5/H5</f>
        <v>#DIV/0!</v>
      </c>
      <c r="N5" s="44" t="e">
        <f t="shared" ref="N5:N13" si="6">I5/H5</f>
        <v>#DIV/0!</v>
      </c>
      <c r="O5" s="144"/>
    </row>
    <row r="6" spans="1:15" s="4" customFormat="1" ht="45" customHeight="1">
      <c r="A6" s="133" t="s">
        <v>0</v>
      </c>
      <c r="B6" s="9">
        <v>3</v>
      </c>
      <c r="C6" s="31" t="str">
        <f>'１・２年印刷用'!C7</f>
        <v>がんばってやって、うれしかったことがある。</v>
      </c>
      <c r="D6" s="14"/>
      <c r="E6" s="14"/>
      <c r="F6" s="14"/>
      <c r="G6" s="14"/>
      <c r="H6" s="20">
        <f t="shared" si="0"/>
        <v>0</v>
      </c>
      <c r="I6" s="24">
        <f t="shared" si="1"/>
        <v>0</v>
      </c>
      <c r="J6" s="22" t="e">
        <f t="shared" si="2"/>
        <v>#DIV/0!</v>
      </c>
      <c r="K6" s="21" t="e">
        <f t="shared" si="3"/>
        <v>#DIV/0!</v>
      </c>
      <c r="L6" s="21" t="e">
        <f t="shared" si="4"/>
        <v>#DIV/0!</v>
      </c>
      <c r="M6" s="21" t="e">
        <f t="shared" si="5"/>
        <v>#DIV/0!</v>
      </c>
      <c r="N6" s="44" t="e">
        <f t="shared" si="6"/>
        <v>#DIV/0!</v>
      </c>
      <c r="O6" s="138" t="e">
        <f>AVERAGE(N6:N7)</f>
        <v>#DIV/0!</v>
      </c>
    </row>
    <row r="7" spans="1:15" s="4" customFormat="1" ht="45" customHeight="1">
      <c r="A7" s="134"/>
      <c r="B7" s="9">
        <v>4</v>
      </c>
      <c r="C7" s="28" t="str">
        <f>'１・２年印刷用'!C8</f>
        <v>じぶんには、よいところがあると思う。</v>
      </c>
      <c r="D7" s="14"/>
      <c r="E7" s="14"/>
      <c r="F7" s="14"/>
      <c r="G7" s="14"/>
      <c r="H7" s="20">
        <f t="shared" si="0"/>
        <v>0</v>
      </c>
      <c r="I7" s="24">
        <f t="shared" si="1"/>
        <v>0</v>
      </c>
      <c r="J7" s="22" t="e">
        <f t="shared" si="2"/>
        <v>#DIV/0!</v>
      </c>
      <c r="K7" s="21" t="e">
        <f t="shared" si="3"/>
        <v>#DIV/0!</v>
      </c>
      <c r="L7" s="21" t="e">
        <f t="shared" si="4"/>
        <v>#DIV/0!</v>
      </c>
      <c r="M7" s="21" t="e">
        <f t="shared" si="5"/>
        <v>#DIV/0!</v>
      </c>
      <c r="N7" s="44" t="e">
        <f t="shared" si="6"/>
        <v>#DIV/0!</v>
      </c>
      <c r="O7" s="144"/>
    </row>
    <row r="8" spans="1:15" s="4" customFormat="1" ht="45" customHeight="1">
      <c r="A8" s="92" t="s">
        <v>58</v>
      </c>
      <c r="B8" s="9">
        <v>5</v>
      </c>
      <c r="C8" s="31" t="str">
        <f>'１・２年印刷用'!C9</f>
        <v>がんばりたいことやもくひょうをもっている。</v>
      </c>
      <c r="D8" s="14"/>
      <c r="E8" s="14"/>
      <c r="F8" s="14"/>
      <c r="G8" s="14"/>
      <c r="H8" s="20">
        <f t="shared" si="0"/>
        <v>0</v>
      </c>
      <c r="I8" s="24">
        <f t="shared" si="1"/>
        <v>0</v>
      </c>
      <c r="J8" s="22" t="e">
        <f t="shared" si="2"/>
        <v>#DIV/0!</v>
      </c>
      <c r="K8" s="21" t="e">
        <f t="shared" si="3"/>
        <v>#DIV/0!</v>
      </c>
      <c r="L8" s="21" t="e">
        <f t="shared" si="4"/>
        <v>#DIV/0!</v>
      </c>
      <c r="M8" s="21" t="e">
        <f t="shared" si="5"/>
        <v>#DIV/0!</v>
      </c>
      <c r="N8" s="44" t="e">
        <f t="shared" si="6"/>
        <v>#DIV/0!</v>
      </c>
      <c r="O8" s="113" t="e">
        <f>AVERAGE(N8)</f>
        <v>#DIV/0!</v>
      </c>
    </row>
    <row r="9" spans="1:15" s="4" customFormat="1" ht="45" customHeight="1">
      <c r="A9" s="135" t="s">
        <v>59</v>
      </c>
      <c r="B9" s="9">
        <v>6</v>
      </c>
      <c r="C9" s="31" t="str">
        <f>'１・２年印刷用'!C10</f>
        <v>人の気もちがわかるにんげんになりたいと思う。</v>
      </c>
      <c r="D9" s="14"/>
      <c r="E9" s="14"/>
      <c r="F9" s="14"/>
      <c r="G9" s="14"/>
      <c r="H9" s="20">
        <f t="shared" si="0"/>
        <v>0</v>
      </c>
      <c r="I9" s="24">
        <f t="shared" si="1"/>
        <v>0</v>
      </c>
      <c r="J9" s="22" t="e">
        <f t="shared" si="2"/>
        <v>#DIV/0!</v>
      </c>
      <c r="K9" s="21" t="e">
        <f>E9/ H9</f>
        <v>#DIV/0!</v>
      </c>
      <c r="L9" s="21" t="e">
        <f t="shared" si="4"/>
        <v>#DIV/0!</v>
      </c>
      <c r="M9" s="21" t="e">
        <f t="shared" si="5"/>
        <v>#DIV/0!</v>
      </c>
      <c r="N9" s="44" t="e">
        <f t="shared" si="6"/>
        <v>#DIV/0!</v>
      </c>
      <c r="O9" s="138" t="e">
        <f>AVERAGE(N9:N10)</f>
        <v>#DIV/0!</v>
      </c>
    </row>
    <row r="10" spans="1:15" s="4" customFormat="1" ht="45" customHeight="1">
      <c r="A10" s="136"/>
      <c r="B10" s="9">
        <v>7</v>
      </c>
      <c r="C10" s="28" t="str">
        <f>'１・２年印刷用'!C11</f>
        <v>いじめはどんなりゆうがあっても、いけないことだと思う。</v>
      </c>
      <c r="D10" s="14"/>
      <c r="E10" s="14"/>
      <c r="F10" s="14"/>
      <c r="G10" s="14"/>
      <c r="H10" s="20">
        <f t="shared" si="0"/>
        <v>0</v>
      </c>
      <c r="I10" s="24">
        <f t="shared" si="1"/>
        <v>0</v>
      </c>
      <c r="J10" s="22" t="e">
        <f t="shared" si="2"/>
        <v>#DIV/0!</v>
      </c>
      <c r="K10" s="21" t="e">
        <f t="shared" si="3"/>
        <v>#DIV/0!</v>
      </c>
      <c r="L10" s="21" t="e">
        <f t="shared" si="4"/>
        <v>#DIV/0!</v>
      </c>
      <c r="M10" s="21" t="e">
        <f t="shared" si="5"/>
        <v>#DIV/0!</v>
      </c>
      <c r="N10" s="44" t="e">
        <f t="shared" si="6"/>
        <v>#DIV/0!</v>
      </c>
      <c r="O10" s="140"/>
    </row>
    <row r="11" spans="1:15" s="4" customFormat="1" ht="45" customHeight="1">
      <c r="A11" s="92" t="s">
        <v>60</v>
      </c>
      <c r="B11" s="9">
        <v>8</v>
      </c>
      <c r="C11" s="31" t="str">
        <f>'１・２年印刷用'!C12</f>
        <v>がっこうのきまりをまもっている。</v>
      </c>
      <c r="D11" s="14"/>
      <c r="E11" s="14"/>
      <c r="F11" s="14"/>
      <c r="G11" s="14"/>
      <c r="H11" s="20">
        <f t="shared" si="0"/>
        <v>0</v>
      </c>
      <c r="I11" s="24">
        <f t="shared" si="1"/>
        <v>0</v>
      </c>
      <c r="J11" s="22" t="e">
        <f t="shared" si="2"/>
        <v>#DIV/0!</v>
      </c>
      <c r="K11" s="21" t="e">
        <f t="shared" si="3"/>
        <v>#DIV/0!</v>
      </c>
      <c r="L11" s="21" t="e">
        <f t="shared" si="4"/>
        <v>#DIV/0!</v>
      </c>
      <c r="M11" s="21" t="e">
        <f t="shared" si="5"/>
        <v>#DIV/0!</v>
      </c>
      <c r="N11" s="44" t="e">
        <f t="shared" si="6"/>
        <v>#DIV/0!</v>
      </c>
      <c r="O11" s="114" t="e">
        <f>AVERAGE(N11)</f>
        <v>#DIV/0!</v>
      </c>
    </row>
    <row r="12" spans="1:15" s="4" customFormat="1" ht="45" customHeight="1">
      <c r="A12" s="135" t="s">
        <v>70</v>
      </c>
      <c r="B12" s="9">
        <v>9</v>
      </c>
      <c r="C12" s="28" t="str">
        <f>'１・２年印刷用'!C13</f>
        <v>ともだちやかぞくのやくに立ちたいと思う。</v>
      </c>
      <c r="D12" s="14"/>
      <c r="E12" s="14"/>
      <c r="F12" s="14"/>
      <c r="G12" s="14"/>
      <c r="H12" s="20">
        <f t="shared" si="0"/>
        <v>0</v>
      </c>
      <c r="I12" s="24">
        <f t="shared" si="1"/>
        <v>0</v>
      </c>
      <c r="J12" s="22" t="e">
        <f t="shared" si="2"/>
        <v>#DIV/0!</v>
      </c>
      <c r="K12" s="21" t="e">
        <f t="shared" si="3"/>
        <v>#DIV/0!</v>
      </c>
      <c r="L12" s="21" t="e">
        <f t="shared" si="4"/>
        <v>#DIV/0!</v>
      </c>
      <c r="M12" s="21" t="e">
        <f t="shared" si="5"/>
        <v>#DIV/0!</v>
      </c>
      <c r="N12" s="44" t="e">
        <f t="shared" si="6"/>
        <v>#DIV/0!</v>
      </c>
      <c r="O12" s="138" t="e">
        <f>AVERAGE(N12:N13)</f>
        <v>#DIV/0!</v>
      </c>
    </row>
    <row r="13" spans="1:15" s="4" customFormat="1" ht="45" customHeight="1" thickBot="1">
      <c r="A13" s="137"/>
      <c r="B13" s="12">
        <v>10</v>
      </c>
      <c r="C13" s="105" t="str">
        <f>'１・２年印刷用'!C14</f>
        <v>じぶんのすんでいるちいきがすきだ。</v>
      </c>
      <c r="D13" s="106"/>
      <c r="E13" s="106"/>
      <c r="F13" s="106"/>
      <c r="G13" s="106"/>
      <c r="H13" s="100">
        <f>SUM(D13:G13)</f>
        <v>0</v>
      </c>
      <c r="I13" s="101">
        <f>SUM(D13:E13)</f>
        <v>0</v>
      </c>
      <c r="J13" s="102" t="e">
        <f>D13/H13</f>
        <v>#DIV/0!</v>
      </c>
      <c r="K13" s="103" t="e">
        <f t="shared" si="3"/>
        <v>#DIV/0!</v>
      </c>
      <c r="L13" s="103" t="e">
        <f t="shared" si="4"/>
        <v>#DIV/0!</v>
      </c>
      <c r="M13" s="103" t="e">
        <f t="shared" si="5"/>
        <v>#DIV/0!</v>
      </c>
      <c r="N13" s="104" t="e">
        <f t="shared" si="6"/>
        <v>#DIV/0!</v>
      </c>
      <c r="O13" s="139"/>
    </row>
    <row r="14" spans="1:15" ht="22.5" customHeight="1">
      <c r="A14" s="124"/>
      <c r="B14" s="125"/>
      <c r="C14" s="125"/>
      <c r="D14" s="125"/>
      <c r="E14" s="125"/>
      <c r="F14" s="125"/>
      <c r="G14" s="125"/>
    </row>
    <row r="17" ht="24" customHeight="1"/>
    <row r="18" ht="24" customHeight="1"/>
  </sheetData>
  <sheetProtection formatCells="0"/>
  <mergeCells count="16">
    <mergeCell ref="J1:O1"/>
    <mergeCell ref="A1:C1"/>
    <mergeCell ref="A14:G14"/>
    <mergeCell ref="J2:O2"/>
    <mergeCell ref="A2:A3"/>
    <mergeCell ref="B2:B3"/>
    <mergeCell ref="C2:C3"/>
    <mergeCell ref="D2:I2"/>
    <mergeCell ref="O9:O10"/>
    <mergeCell ref="O12:O13"/>
    <mergeCell ref="A4:A5"/>
    <mergeCell ref="A6:A7"/>
    <mergeCell ref="A9:A10"/>
    <mergeCell ref="A12:A13"/>
    <mergeCell ref="O4:O5"/>
    <mergeCell ref="O6:O7"/>
  </mergeCells>
  <phoneticPr fontId="2"/>
  <conditionalFormatting sqref="H1 D4:G13">
    <cfRule type="containsBlanks" dxfId="12" priority="1" stopIfTrue="1">
      <formula>LEN(TRIM(D1))=0</formula>
    </cfRule>
    <cfRule type="containsBlanks" dxfId="11" priority="2" stopIfTrue="1">
      <formula>LEN(TRIM(D1))=0</formula>
    </cfRule>
  </conditionalFormatting>
  <pageMargins left="0.39370078740157483" right="0.39370078740157483" top="0.39370078740157483" bottom="0.39370078740157483" header="0.51181102362204722" footer="0.51181102362204722"/>
  <pageSetup paperSize="9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/>
  </sheetPr>
  <dimension ref="A1:M38"/>
  <sheetViews>
    <sheetView view="pageBreakPreview" zoomScaleNormal="100" zoomScaleSheetLayoutView="100" workbookViewId="0">
      <selection activeCell="F7" sqref="F7"/>
    </sheetView>
  </sheetViews>
  <sheetFormatPr defaultRowHeight="13.2"/>
  <cols>
    <col min="1" max="1" width="6.44140625" customWidth="1"/>
    <col min="2" max="11" width="8.6640625" customWidth="1"/>
    <col min="12" max="12" width="5.109375" customWidth="1"/>
  </cols>
  <sheetData>
    <row r="1" spans="1:13" ht="26.4" thickBot="1">
      <c r="A1" s="155" t="s">
        <v>23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</row>
    <row r="2" spans="1:13" ht="30" customHeight="1" thickBot="1">
      <c r="A2" s="159" t="s">
        <v>11</v>
      </c>
      <c r="B2" s="160"/>
      <c r="C2" s="160"/>
      <c r="D2" s="160"/>
      <c r="E2" s="160"/>
      <c r="F2" s="160"/>
      <c r="G2" s="165"/>
      <c r="H2" s="166"/>
      <c r="I2" s="166"/>
      <c r="J2" s="166"/>
      <c r="K2" s="167"/>
    </row>
    <row r="3" spans="1:13" ht="19.5" customHeight="1" thickTop="1">
      <c r="A3" s="172" t="s">
        <v>15</v>
      </c>
      <c r="B3" s="173"/>
      <c r="C3" s="174"/>
      <c r="D3" s="161" t="s">
        <v>9</v>
      </c>
      <c r="E3" s="168"/>
      <c r="F3" s="169"/>
      <c r="G3" s="161">
        <f>'１・２年　１回目'!H1</f>
        <v>0</v>
      </c>
      <c r="H3" s="162"/>
      <c r="I3" s="162"/>
      <c r="J3" s="162"/>
      <c r="K3" s="90" t="s">
        <v>17</v>
      </c>
    </row>
    <row r="4" spans="1:13" ht="19.5" customHeight="1" thickBot="1">
      <c r="A4" s="175"/>
      <c r="B4" s="176"/>
      <c r="C4" s="177"/>
      <c r="D4" s="163" t="s">
        <v>12</v>
      </c>
      <c r="E4" s="170"/>
      <c r="F4" s="171"/>
      <c r="G4" s="163">
        <f>'１・２年　２回目'!H1</f>
        <v>0</v>
      </c>
      <c r="H4" s="164"/>
      <c r="I4" s="164"/>
      <c r="J4" s="164"/>
      <c r="K4" s="91" t="s">
        <v>17</v>
      </c>
    </row>
    <row r="5" spans="1:13" ht="26.25" customHeight="1" thickBot="1">
      <c r="A5" s="156" t="s">
        <v>18</v>
      </c>
      <c r="B5" s="157"/>
      <c r="C5" s="157"/>
      <c r="D5" s="157"/>
      <c r="E5" s="157"/>
      <c r="F5" s="157"/>
      <c r="G5" s="157"/>
      <c r="H5" s="157"/>
      <c r="I5" s="157"/>
      <c r="J5" s="157"/>
      <c r="K5" s="158"/>
    </row>
    <row r="6" spans="1:13" ht="43.5" customHeight="1" thickBot="1">
      <c r="A6" s="41"/>
      <c r="B6" s="51">
        <v>1</v>
      </c>
      <c r="C6" s="52">
        <v>2</v>
      </c>
      <c r="D6" s="52">
        <v>3</v>
      </c>
      <c r="E6" s="52">
        <v>4</v>
      </c>
      <c r="F6" s="61">
        <v>5</v>
      </c>
      <c r="G6" s="52">
        <v>6</v>
      </c>
      <c r="H6" s="52">
        <v>7</v>
      </c>
      <c r="I6" s="52">
        <v>8</v>
      </c>
      <c r="J6" s="52">
        <v>9</v>
      </c>
      <c r="K6" s="107">
        <v>10</v>
      </c>
    </row>
    <row r="7" spans="1:13" ht="43.5" customHeight="1" thickTop="1">
      <c r="A7" s="66" t="s">
        <v>21</v>
      </c>
      <c r="B7" s="62" t="e">
        <f>'１・２年　１回目'!N4</f>
        <v>#DIV/0!</v>
      </c>
      <c r="C7" s="63" t="e">
        <f>'１・２年　１回目'!N5</f>
        <v>#DIV/0!</v>
      </c>
      <c r="D7" s="63" t="e">
        <f>'１・２年　１回目'!N6</f>
        <v>#DIV/0!</v>
      </c>
      <c r="E7" s="63" t="e">
        <f>'１・２年　１回目'!N7</f>
        <v>#DIV/0!</v>
      </c>
      <c r="F7" s="63" t="e">
        <f>'１・２年　１回目'!N8</f>
        <v>#DIV/0!</v>
      </c>
      <c r="G7" s="65" t="e">
        <f>'１・２年　１回目'!N9</f>
        <v>#DIV/0!</v>
      </c>
      <c r="H7" s="65" t="e">
        <f>'１・２年　１回目'!N10</f>
        <v>#DIV/0!</v>
      </c>
      <c r="I7" s="65" t="e">
        <f>'１・２年　１回目'!N11</f>
        <v>#DIV/0!</v>
      </c>
      <c r="J7" s="65" t="e">
        <f>'１・２年　１回目'!N12</f>
        <v>#DIV/0!</v>
      </c>
      <c r="K7" s="108" t="e">
        <f>'１・２年　１回目'!N13</f>
        <v>#DIV/0!</v>
      </c>
    </row>
    <row r="8" spans="1:13" ht="43.5" customHeight="1" thickBot="1">
      <c r="A8" s="67" t="s">
        <v>22</v>
      </c>
      <c r="B8" s="49" t="e">
        <f>'１・２年　２回目'!N4</f>
        <v>#DIV/0!</v>
      </c>
      <c r="C8" s="50" t="e">
        <f>'１・２年　２回目'!N5</f>
        <v>#DIV/0!</v>
      </c>
      <c r="D8" s="50" t="e">
        <f>'１・２年　２回目'!N6</f>
        <v>#DIV/0!</v>
      </c>
      <c r="E8" s="50" t="e">
        <f>'１・２年　２回目'!N7</f>
        <v>#DIV/0!</v>
      </c>
      <c r="F8" s="50" t="e">
        <f>'１・２年　２回目'!N8</f>
        <v>#DIV/0!</v>
      </c>
      <c r="G8" s="64" t="e">
        <f>'１・２年　２回目'!N9</f>
        <v>#DIV/0!</v>
      </c>
      <c r="H8" s="64" t="e">
        <f>'１・２年　２回目'!N10</f>
        <v>#DIV/0!</v>
      </c>
      <c r="I8" s="64" t="e">
        <f>'１・２年　２回目'!N11</f>
        <v>#DIV/0!</v>
      </c>
      <c r="J8" s="64" t="e">
        <f>'１・２年　２回目'!N12</f>
        <v>#DIV/0!</v>
      </c>
      <c r="K8" s="109" t="e">
        <f>'１・２年　２回目'!N13</f>
        <v>#DIV/0!</v>
      </c>
    </row>
    <row r="9" spans="1:13">
      <c r="L9">
        <f>'１・２年印刷用'!B5</f>
        <v>1</v>
      </c>
      <c r="M9" t="str">
        <f>'１・２年印刷用'!C5</f>
        <v>どうとくのべんきょうは、すきだ。</v>
      </c>
    </row>
    <row r="10" spans="1:13">
      <c r="L10">
        <f>'１・２年印刷用'!B6</f>
        <v>2</v>
      </c>
      <c r="M10" t="str">
        <f>'１・２年印刷用'!C6</f>
        <v>どうとくのじゅぎょうでは、じぶんのかんがえをつたえたり、ほかの人のかんがえをきいたりしながら、じぶんのことについてよくかんがえている。</v>
      </c>
    </row>
    <row r="11" spans="1:13">
      <c r="L11">
        <f>'１・２年印刷用'!B7</f>
        <v>3</v>
      </c>
      <c r="M11" t="str">
        <f>'１・２年印刷用'!C7</f>
        <v>がんばってやって、うれしかったことがある。</v>
      </c>
    </row>
    <row r="12" spans="1:13">
      <c r="L12">
        <f>'１・２年印刷用'!B8</f>
        <v>4</v>
      </c>
      <c r="M12" t="str">
        <f>'１・２年印刷用'!C8</f>
        <v>じぶんには、よいところがあると思う。</v>
      </c>
    </row>
    <row r="13" spans="1:13">
      <c r="L13">
        <f>'１・２年印刷用'!B9</f>
        <v>5</v>
      </c>
      <c r="M13" t="str">
        <f>'１・２年印刷用'!C9</f>
        <v>がんばりたいことやもくひょうをもっている。</v>
      </c>
    </row>
    <row r="14" spans="1:13">
      <c r="L14">
        <f>'１・２年印刷用'!B10</f>
        <v>6</v>
      </c>
      <c r="M14" t="str">
        <f>'１・２年印刷用'!C10</f>
        <v>人の気もちがわかるにんげんになりたいと思う。</v>
      </c>
    </row>
    <row r="15" spans="1:13">
      <c r="L15">
        <f>'１・２年印刷用'!B11</f>
        <v>7</v>
      </c>
      <c r="M15" t="str">
        <f>'１・２年印刷用'!C11</f>
        <v>いじめはどんなりゆうがあっても、いけないことだと思う。</v>
      </c>
    </row>
    <row r="16" spans="1:13">
      <c r="L16">
        <f>'１・２年印刷用'!B12</f>
        <v>8</v>
      </c>
      <c r="M16" t="str">
        <f>'１・２年印刷用'!C12</f>
        <v>がっこうのきまりをまもっている。</v>
      </c>
    </row>
    <row r="17" spans="12:13">
      <c r="L17">
        <f>'１・２年印刷用'!B13</f>
        <v>9</v>
      </c>
      <c r="M17" t="str">
        <f>'１・２年印刷用'!C13</f>
        <v>ともだちやかぞくのやくに立ちたいと思う。</v>
      </c>
    </row>
    <row r="18" spans="12:13">
      <c r="L18">
        <f>'１・２年印刷用'!B14</f>
        <v>10</v>
      </c>
      <c r="M18" t="str">
        <f>'１・２年印刷用'!C14</f>
        <v>じぶんのすんでいるちいきがすきだ。</v>
      </c>
    </row>
    <row r="35" spans="1:11" ht="13.8" thickBot="1">
      <c r="A35" t="s">
        <v>13</v>
      </c>
    </row>
    <row r="36" spans="1:11" ht="88.5" customHeight="1" thickBot="1">
      <c r="A36" s="152"/>
      <c r="B36" s="153"/>
      <c r="C36" s="153"/>
      <c r="D36" s="153"/>
      <c r="E36" s="153"/>
      <c r="F36" s="153"/>
      <c r="G36" s="153"/>
      <c r="H36" s="153"/>
      <c r="I36" s="153"/>
      <c r="J36" s="153"/>
      <c r="K36" s="154"/>
    </row>
    <row r="37" spans="1:11" ht="13.8" thickBot="1">
      <c r="A37" t="s">
        <v>14</v>
      </c>
      <c r="C37" s="19"/>
      <c r="D37" s="19"/>
      <c r="E37" s="19"/>
      <c r="F37" s="19"/>
    </row>
    <row r="38" spans="1:11" ht="88.5" customHeight="1" thickBot="1">
      <c r="A38" s="152"/>
      <c r="B38" s="153"/>
      <c r="C38" s="153"/>
      <c r="D38" s="153"/>
      <c r="E38" s="153"/>
      <c r="F38" s="153"/>
      <c r="G38" s="153"/>
      <c r="H38" s="153"/>
      <c r="I38" s="153"/>
      <c r="J38" s="153"/>
      <c r="K38" s="154"/>
    </row>
  </sheetData>
  <sheetProtection sheet="1" formatCells="0" formatColumns="0" formatRows="0" insertColumns="0" insertRows="0"/>
  <mergeCells count="11">
    <mergeCell ref="A38:K38"/>
    <mergeCell ref="A1:K1"/>
    <mergeCell ref="A5:K5"/>
    <mergeCell ref="A36:K36"/>
    <mergeCell ref="A2:F2"/>
    <mergeCell ref="G3:J3"/>
    <mergeCell ref="G4:J4"/>
    <mergeCell ref="G2:K2"/>
    <mergeCell ref="D3:F3"/>
    <mergeCell ref="D4:F4"/>
    <mergeCell ref="A3:C4"/>
  </mergeCells>
  <phoneticPr fontId="2"/>
  <conditionalFormatting sqref="G2:K2 A36:K36 A38:K38">
    <cfRule type="containsBlanks" dxfId="10" priority="1" stopIfTrue="1">
      <formula>LEN(TRIM(A2))=0</formula>
    </cfRule>
    <cfRule type="containsBlanks" dxfId="9" priority="2" stopIfTrue="1">
      <formula>LEN(TRIM(A2))=0</formula>
    </cfRule>
  </conditionalFormatting>
  <pageMargins left="0.51181102362204722" right="0.51181102362204722" top="0.74803149606299213" bottom="0.74803149606299213" header="0.31496062992125984" footer="0.31496062992125984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/>
  </sheetPr>
  <dimension ref="A1:O18"/>
  <sheetViews>
    <sheetView showGridLines="0" view="pageBreakPreview" zoomScaleNormal="100" zoomScaleSheetLayoutView="100" workbookViewId="0">
      <selection activeCell="E9" sqref="E9"/>
    </sheetView>
  </sheetViews>
  <sheetFormatPr defaultColWidth="9" defaultRowHeight="13.2"/>
  <cols>
    <col min="1" max="1" width="5" style="18" customWidth="1"/>
    <col min="2" max="2" width="3.109375" style="18" customWidth="1"/>
    <col min="3" max="3" width="52.33203125" style="18" customWidth="1"/>
    <col min="4" max="14" width="6.77734375" style="18" customWidth="1"/>
    <col min="15" max="15" width="6.77734375" style="23" customWidth="1"/>
    <col min="16" max="16384" width="9" style="18"/>
  </cols>
  <sheetData>
    <row r="1" spans="1:15" s="30" customFormat="1" ht="20.25" customHeight="1" thickBot="1">
      <c r="A1" s="126" t="str">
        <f>'３・４年印刷用'!A1</f>
        <v>道徳意識調査　（小学校３・４年生用）</v>
      </c>
      <c r="B1" s="126"/>
      <c r="C1" s="126"/>
      <c r="D1" s="29"/>
      <c r="E1" s="48"/>
      <c r="F1" s="48"/>
      <c r="G1" s="47" t="s">
        <v>16</v>
      </c>
      <c r="H1" s="79"/>
      <c r="I1" s="68" t="s">
        <v>17</v>
      </c>
      <c r="J1" s="129" t="s">
        <v>9</v>
      </c>
      <c r="K1" s="130"/>
      <c r="L1" s="130"/>
      <c r="M1" s="130"/>
      <c r="N1" s="130"/>
      <c r="O1" s="130"/>
    </row>
    <row r="2" spans="1:15" s="15" customFormat="1" ht="20.25" customHeight="1">
      <c r="A2" s="141"/>
      <c r="B2" s="127" t="s">
        <v>34</v>
      </c>
      <c r="C2" s="127" t="str">
        <f>IF('３・４年印刷用'!C4="","",'３・４年印刷用'!C4)</f>
        <v>質　問　項　目</v>
      </c>
      <c r="D2" s="148" t="s">
        <v>31</v>
      </c>
      <c r="E2" s="148"/>
      <c r="F2" s="148"/>
      <c r="G2" s="148"/>
      <c r="H2" s="148"/>
      <c r="I2" s="149"/>
      <c r="J2" s="145" t="s">
        <v>8</v>
      </c>
      <c r="K2" s="146"/>
      <c r="L2" s="146"/>
      <c r="M2" s="146"/>
      <c r="N2" s="146"/>
      <c r="O2" s="147"/>
    </row>
    <row r="3" spans="1:15" s="4" customFormat="1" ht="97.5" customHeight="1" thickBot="1">
      <c r="A3" s="142"/>
      <c r="B3" s="128"/>
      <c r="C3" s="128"/>
      <c r="D3" s="36" t="s">
        <v>2</v>
      </c>
      <c r="E3" s="36" t="s">
        <v>3</v>
      </c>
      <c r="F3" s="36" t="s">
        <v>4</v>
      </c>
      <c r="G3" s="36" t="s">
        <v>5</v>
      </c>
      <c r="H3" s="37" t="s">
        <v>6</v>
      </c>
      <c r="I3" s="38" t="s">
        <v>7</v>
      </c>
      <c r="J3" s="39" t="s">
        <v>2</v>
      </c>
      <c r="K3" s="36" t="s">
        <v>3</v>
      </c>
      <c r="L3" s="36" t="s">
        <v>4</v>
      </c>
      <c r="M3" s="36" t="s">
        <v>5</v>
      </c>
      <c r="N3" s="42" t="s">
        <v>7</v>
      </c>
      <c r="O3" s="45" t="s">
        <v>30</v>
      </c>
    </row>
    <row r="4" spans="1:15" s="4" customFormat="1" ht="45" customHeight="1" thickTop="1">
      <c r="A4" s="150" t="s">
        <v>71</v>
      </c>
      <c r="B4" s="10">
        <v>1</v>
      </c>
      <c r="C4" s="31" t="str">
        <f>'３・４年印刷用'!C5</f>
        <v>道徳の勉強は、すきだ。</v>
      </c>
      <c r="D4" s="13"/>
      <c r="E4" s="13"/>
      <c r="F4" s="13"/>
      <c r="G4" s="13"/>
      <c r="H4" s="32">
        <f t="shared" ref="H4:H13" si="0">SUM(D4:G4)</f>
        <v>0</v>
      </c>
      <c r="I4" s="33">
        <f t="shared" ref="I4:I13" si="1">SUM(D4:E4)</f>
        <v>0</v>
      </c>
      <c r="J4" s="34" t="e">
        <f t="shared" ref="J4:J13" si="2">D4/H4</f>
        <v>#DIV/0!</v>
      </c>
      <c r="K4" s="35" t="e">
        <f t="shared" ref="K4:K13" si="3">E4/ H4</f>
        <v>#DIV/0!</v>
      </c>
      <c r="L4" s="35" t="e">
        <f t="shared" ref="L4:L13" si="4">F4/H4</f>
        <v>#DIV/0!</v>
      </c>
      <c r="M4" s="35" t="e">
        <f t="shared" ref="M4:M13" si="5">G4/H4</f>
        <v>#DIV/0!</v>
      </c>
      <c r="N4" s="43" t="e">
        <f t="shared" ref="N4:N13" si="6">I4/H4</f>
        <v>#DIV/0!</v>
      </c>
      <c r="O4" s="151" t="e">
        <f>AVERAGE(N4:N5)</f>
        <v>#DIV/0!</v>
      </c>
    </row>
    <row r="5" spans="1:15" s="4" customFormat="1" ht="45" customHeight="1">
      <c r="A5" s="132"/>
      <c r="B5" s="9">
        <v>2</v>
      </c>
      <c r="C5" s="11" t="str">
        <f>'３・４年印刷用'!C6</f>
        <v>道徳のじゅぎょうでは、自分の考えを伝えたり、ほかの人の考えを聞いたりしながら、自分のことについてよく考えている。</v>
      </c>
      <c r="D5" s="14"/>
      <c r="E5" s="14"/>
      <c r="F5" s="14"/>
      <c r="G5" s="14"/>
      <c r="H5" s="20">
        <f t="shared" si="0"/>
        <v>0</v>
      </c>
      <c r="I5" s="24">
        <f t="shared" si="1"/>
        <v>0</v>
      </c>
      <c r="J5" s="22" t="e">
        <f t="shared" si="2"/>
        <v>#DIV/0!</v>
      </c>
      <c r="K5" s="21" t="e">
        <f t="shared" si="3"/>
        <v>#DIV/0!</v>
      </c>
      <c r="L5" s="21" t="e">
        <f t="shared" si="4"/>
        <v>#DIV/0!</v>
      </c>
      <c r="M5" s="21" t="e">
        <f t="shared" si="5"/>
        <v>#DIV/0!</v>
      </c>
      <c r="N5" s="44" t="e">
        <f t="shared" si="6"/>
        <v>#DIV/0!</v>
      </c>
      <c r="O5" s="144"/>
    </row>
    <row r="6" spans="1:15" s="4" customFormat="1" ht="45" customHeight="1">
      <c r="A6" s="133" t="s">
        <v>0</v>
      </c>
      <c r="B6" s="9">
        <v>3</v>
      </c>
      <c r="C6" s="31" t="str">
        <f>'３・４年印刷用'!C7</f>
        <v>ものごとをさいごまでがんばってやって、うれしかったことがある。</v>
      </c>
      <c r="D6" s="14"/>
      <c r="E6" s="14"/>
      <c r="F6" s="14"/>
      <c r="G6" s="14"/>
      <c r="H6" s="20">
        <f t="shared" si="0"/>
        <v>0</v>
      </c>
      <c r="I6" s="24">
        <f t="shared" si="1"/>
        <v>0</v>
      </c>
      <c r="J6" s="22" t="e">
        <f t="shared" si="2"/>
        <v>#DIV/0!</v>
      </c>
      <c r="K6" s="21" t="e">
        <f t="shared" si="3"/>
        <v>#DIV/0!</v>
      </c>
      <c r="L6" s="21" t="e">
        <f t="shared" si="4"/>
        <v>#DIV/0!</v>
      </c>
      <c r="M6" s="21" t="e">
        <f t="shared" si="5"/>
        <v>#DIV/0!</v>
      </c>
      <c r="N6" s="44" t="e">
        <f t="shared" si="6"/>
        <v>#DIV/0!</v>
      </c>
      <c r="O6" s="138" t="e">
        <f>AVERAGE(N6:N7)</f>
        <v>#DIV/0!</v>
      </c>
    </row>
    <row r="7" spans="1:15" s="4" customFormat="1" ht="45" customHeight="1">
      <c r="A7" s="134"/>
      <c r="B7" s="9">
        <v>4</v>
      </c>
      <c r="C7" s="28" t="str">
        <f>'３・４年印刷用'!C8</f>
        <v>自分には、よいところがあると思う。</v>
      </c>
      <c r="D7" s="14"/>
      <c r="E7" s="14"/>
      <c r="F7" s="14"/>
      <c r="G7" s="14"/>
      <c r="H7" s="20">
        <f t="shared" si="0"/>
        <v>0</v>
      </c>
      <c r="I7" s="24">
        <f t="shared" si="1"/>
        <v>0</v>
      </c>
      <c r="J7" s="22" t="e">
        <f t="shared" si="2"/>
        <v>#DIV/0!</v>
      </c>
      <c r="K7" s="21" t="e">
        <f t="shared" si="3"/>
        <v>#DIV/0!</v>
      </c>
      <c r="L7" s="21" t="e">
        <f t="shared" si="4"/>
        <v>#DIV/0!</v>
      </c>
      <c r="M7" s="21" t="e">
        <f t="shared" si="5"/>
        <v>#DIV/0!</v>
      </c>
      <c r="N7" s="44" t="e">
        <f t="shared" si="6"/>
        <v>#DIV/0!</v>
      </c>
      <c r="O7" s="144"/>
    </row>
    <row r="8" spans="1:15" s="4" customFormat="1" ht="45" customHeight="1">
      <c r="A8" s="92" t="s">
        <v>58</v>
      </c>
      <c r="B8" s="9">
        <v>5</v>
      </c>
      <c r="C8" s="31" t="str">
        <f>'３・４年印刷用'!C9</f>
        <v>がんばりたいことや目標をもっている。</v>
      </c>
      <c r="D8" s="14"/>
      <c r="E8" s="14"/>
      <c r="F8" s="14"/>
      <c r="G8" s="14"/>
      <c r="H8" s="20">
        <f t="shared" si="0"/>
        <v>0</v>
      </c>
      <c r="I8" s="24">
        <f t="shared" si="1"/>
        <v>0</v>
      </c>
      <c r="J8" s="22" t="e">
        <f t="shared" si="2"/>
        <v>#DIV/0!</v>
      </c>
      <c r="K8" s="21" t="e">
        <f t="shared" si="3"/>
        <v>#DIV/0!</v>
      </c>
      <c r="L8" s="21" t="e">
        <f t="shared" si="4"/>
        <v>#DIV/0!</v>
      </c>
      <c r="M8" s="21" t="e">
        <f t="shared" si="5"/>
        <v>#DIV/0!</v>
      </c>
      <c r="N8" s="44" t="e">
        <f t="shared" si="6"/>
        <v>#DIV/0!</v>
      </c>
      <c r="O8" s="113" t="e">
        <f>AVERAGE(N8)</f>
        <v>#DIV/0!</v>
      </c>
    </row>
    <row r="9" spans="1:15" s="4" customFormat="1" ht="45" customHeight="1">
      <c r="A9" s="135" t="s">
        <v>59</v>
      </c>
      <c r="B9" s="9">
        <v>6</v>
      </c>
      <c r="C9" s="31" t="str">
        <f>'３・４年印刷用'!C10</f>
        <v>人の気もちがわかる人間になりたいと思う。</v>
      </c>
      <c r="D9" s="14"/>
      <c r="E9" s="14"/>
      <c r="F9" s="14"/>
      <c r="G9" s="14"/>
      <c r="H9" s="20">
        <f t="shared" si="0"/>
        <v>0</v>
      </c>
      <c r="I9" s="24">
        <f t="shared" si="1"/>
        <v>0</v>
      </c>
      <c r="J9" s="22" t="e">
        <f t="shared" si="2"/>
        <v>#DIV/0!</v>
      </c>
      <c r="K9" s="21" t="e">
        <f t="shared" si="3"/>
        <v>#DIV/0!</v>
      </c>
      <c r="L9" s="21" t="e">
        <f t="shared" si="4"/>
        <v>#DIV/0!</v>
      </c>
      <c r="M9" s="21" t="e">
        <f t="shared" si="5"/>
        <v>#DIV/0!</v>
      </c>
      <c r="N9" s="44" t="e">
        <f t="shared" si="6"/>
        <v>#DIV/0!</v>
      </c>
      <c r="O9" s="138" t="e">
        <f>AVERAGE(N9:N10)</f>
        <v>#DIV/0!</v>
      </c>
    </row>
    <row r="10" spans="1:15" s="4" customFormat="1" ht="45" customHeight="1">
      <c r="A10" s="136"/>
      <c r="B10" s="9">
        <v>7</v>
      </c>
      <c r="C10" s="28" t="str">
        <f>'３・４年印刷用'!C11</f>
        <v>いじめはどんな理由があっても、いけないことだと思う。</v>
      </c>
      <c r="D10" s="14"/>
      <c r="E10" s="14"/>
      <c r="F10" s="14"/>
      <c r="G10" s="14"/>
      <c r="H10" s="20">
        <f t="shared" si="0"/>
        <v>0</v>
      </c>
      <c r="I10" s="24">
        <f t="shared" si="1"/>
        <v>0</v>
      </c>
      <c r="J10" s="22" t="e">
        <f t="shared" si="2"/>
        <v>#DIV/0!</v>
      </c>
      <c r="K10" s="21" t="e">
        <f t="shared" si="3"/>
        <v>#DIV/0!</v>
      </c>
      <c r="L10" s="21" t="e">
        <f t="shared" si="4"/>
        <v>#DIV/0!</v>
      </c>
      <c r="M10" s="21" t="e">
        <f t="shared" si="5"/>
        <v>#DIV/0!</v>
      </c>
      <c r="N10" s="44" t="e">
        <f t="shared" si="6"/>
        <v>#DIV/0!</v>
      </c>
      <c r="O10" s="140"/>
    </row>
    <row r="11" spans="1:15" s="4" customFormat="1" ht="45" customHeight="1">
      <c r="A11" s="92" t="s">
        <v>60</v>
      </c>
      <c r="B11" s="9">
        <v>8</v>
      </c>
      <c r="C11" s="31" t="str">
        <f>'３・４年印刷用'!C12</f>
        <v>学校のきまりを守っている。</v>
      </c>
      <c r="D11" s="14"/>
      <c r="E11" s="14"/>
      <c r="F11" s="14"/>
      <c r="G11" s="14"/>
      <c r="H11" s="20">
        <f t="shared" si="0"/>
        <v>0</v>
      </c>
      <c r="I11" s="24">
        <f t="shared" si="1"/>
        <v>0</v>
      </c>
      <c r="J11" s="22" t="e">
        <f t="shared" si="2"/>
        <v>#DIV/0!</v>
      </c>
      <c r="K11" s="21" t="e">
        <f t="shared" si="3"/>
        <v>#DIV/0!</v>
      </c>
      <c r="L11" s="21" t="e">
        <f t="shared" si="4"/>
        <v>#DIV/0!</v>
      </c>
      <c r="M11" s="21" t="e">
        <f t="shared" si="5"/>
        <v>#DIV/0!</v>
      </c>
      <c r="N11" s="44" t="e">
        <f t="shared" si="6"/>
        <v>#DIV/0!</v>
      </c>
      <c r="O11" s="114" t="e">
        <f>AVERAGE(N11)</f>
        <v>#DIV/0!</v>
      </c>
    </row>
    <row r="12" spans="1:15" s="4" customFormat="1" ht="45" customHeight="1">
      <c r="A12" s="135" t="s">
        <v>70</v>
      </c>
      <c r="B12" s="9">
        <v>9</v>
      </c>
      <c r="C12" s="28" t="str">
        <f>'３・４年印刷用'!C13</f>
        <v>自分のすんでいる町や地いきのために何かしたいと思う。</v>
      </c>
      <c r="D12" s="14"/>
      <c r="E12" s="14"/>
      <c r="F12" s="14"/>
      <c r="G12" s="14"/>
      <c r="H12" s="20">
        <f t="shared" si="0"/>
        <v>0</v>
      </c>
      <c r="I12" s="24">
        <f t="shared" si="1"/>
        <v>0</v>
      </c>
      <c r="J12" s="22" t="e">
        <f t="shared" si="2"/>
        <v>#DIV/0!</v>
      </c>
      <c r="K12" s="21" t="e">
        <f t="shared" si="3"/>
        <v>#DIV/0!</v>
      </c>
      <c r="L12" s="21" t="e">
        <f t="shared" si="4"/>
        <v>#DIV/0!</v>
      </c>
      <c r="M12" s="21" t="e">
        <f t="shared" si="5"/>
        <v>#DIV/0!</v>
      </c>
      <c r="N12" s="44" t="e">
        <f t="shared" si="6"/>
        <v>#DIV/0!</v>
      </c>
      <c r="O12" s="138" t="e">
        <f>AVERAGE(N12:N13)</f>
        <v>#DIV/0!</v>
      </c>
    </row>
    <row r="13" spans="1:15" s="4" customFormat="1" ht="45" customHeight="1" thickBot="1">
      <c r="A13" s="137"/>
      <c r="B13" s="12">
        <v>10</v>
      </c>
      <c r="C13" s="105" t="str">
        <f>'３・４年印刷用'!C14</f>
        <v>自分のすんでいる町が好きだ。</v>
      </c>
      <c r="D13" s="106"/>
      <c r="E13" s="106"/>
      <c r="F13" s="106"/>
      <c r="G13" s="106"/>
      <c r="H13" s="100">
        <f t="shared" si="0"/>
        <v>0</v>
      </c>
      <c r="I13" s="101">
        <f t="shared" si="1"/>
        <v>0</v>
      </c>
      <c r="J13" s="102" t="e">
        <f t="shared" si="2"/>
        <v>#DIV/0!</v>
      </c>
      <c r="K13" s="103" t="e">
        <f t="shared" si="3"/>
        <v>#DIV/0!</v>
      </c>
      <c r="L13" s="103" t="e">
        <f t="shared" si="4"/>
        <v>#DIV/0!</v>
      </c>
      <c r="M13" s="103" t="e">
        <f t="shared" si="5"/>
        <v>#DIV/0!</v>
      </c>
      <c r="N13" s="104" t="e">
        <f t="shared" si="6"/>
        <v>#DIV/0!</v>
      </c>
      <c r="O13" s="139"/>
    </row>
    <row r="14" spans="1:15" ht="22.5" customHeight="1">
      <c r="A14" s="124"/>
      <c r="B14" s="125"/>
      <c r="C14" s="125"/>
      <c r="D14" s="125"/>
      <c r="E14" s="125"/>
      <c r="F14" s="125"/>
      <c r="G14" s="125"/>
    </row>
    <row r="17" ht="24" customHeight="1"/>
    <row r="18" ht="24" customHeight="1"/>
  </sheetData>
  <sheetProtection formatCells="0"/>
  <mergeCells count="16">
    <mergeCell ref="A14:G14"/>
    <mergeCell ref="A1:C1"/>
    <mergeCell ref="C2:C3"/>
    <mergeCell ref="J1:O1"/>
    <mergeCell ref="A12:A13"/>
    <mergeCell ref="B2:B3"/>
    <mergeCell ref="A2:A3"/>
    <mergeCell ref="J2:O2"/>
    <mergeCell ref="O9:O10"/>
    <mergeCell ref="O12:O13"/>
    <mergeCell ref="D2:I2"/>
    <mergeCell ref="A4:A5"/>
    <mergeCell ref="A6:A7"/>
    <mergeCell ref="A9:A10"/>
    <mergeCell ref="O4:O5"/>
    <mergeCell ref="O6:O7"/>
  </mergeCells>
  <phoneticPr fontId="2"/>
  <conditionalFormatting sqref="H1 D4:G13">
    <cfRule type="containsBlanks" dxfId="8" priority="1" stopIfTrue="1">
      <formula>LEN(TRIM(D1))=0</formula>
    </cfRule>
  </conditionalFormatting>
  <pageMargins left="0.39370078740157483" right="0.39370078740157483" top="0.39370078740157483" bottom="0.39370078740157483" header="0.51181102362204722" footer="0.51181102362204722"/>
  <pageSetup paperSize="9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/>
  </sheetPr>
  <dimension ref="A1:O18"/>
  <sheetViews>
    <sheetView showGridLines="0" view="pageBreakPreview" zoomScaleNormal="100" zoomScaleSheetLayoutView="100" workbookViewId="0">
      <selection activeCell="D3" sqref="D3:G3"/>
    </sheetView>
  </sheetViews>
  <sheetFormatPr defaultColWidth="9" defaultRowHeight="13.2"/>
  <cols>
    <col min="1" max="1" width="5" style="18" customWidth="1"/>
    <col min="2" max="2" width="3.109375" style="18" customWidth="1"/>
    <col min="3" max="3" width="52.33203125" style="18" customWidth="1"/>
    <col min="4" max="14" width="6.77734375" style="18" customWidth="1"/>
    <col min="15" max="15" width="6.77734375" style="23" customWidth="1"/>
    <col min="16" max="16384" width="9" style="18"/>
  </cols>
  <sheetData>
    <row r="1" spans="1:15" s="30" customFormat="1" ht="22.5" customHeight="1" thickBot="1">
      <c r="A1" s="126" t="str">
        <f>'３・４年印刷用'!A1</f>
        <v>道徳意識調査　（小学校３・４年生用）</v>
      </c>
      <c r="B1" s="126"/>
      <c r="C1" s="126"/>
      <c r="D1" s="29"/>
      <c r="E1" s="48"/>
      <c r="F1" s="48"/>
      <c r="G1" s="47" t="s">
        <v>16</v>
      </c>
      <c r="H1" s="80"/>
      <c r="I1" s="68" t="s">
        <v>17</v>
      </c>
      <c r="J1" s="129" t="s">
        <v>10</v>
      </c>
      <c r="K1" s="130"/>
      <c r="L1" s="130"/>
      <c r="M1" s="130"/>
      <c r="N1" s="130"/>
      <c r="O1" s="130"/>
    </row>
    <row r="2" spans="1:15" s="15" customFormat="1" ht="22.5" customHeight="1">
      <c r="A2" s="141"/>
      <c r="B2" s="127" t="s">
        <v>34</v>
      </c>
      <c r="C2" s="127" t="str">
        <f>IF('３・４年印刷用'!C4="","",'３・４年印刷用'!C4)</f>
        <v>質　問　項　目</v>
      </c>
      <c r="D2" s="148" t="s">
        <v>31</v>
      </c>
      <c r="E2" s="148"/>
      <c r="F2" s="148"/>
      <c r="G2" s="148"/>
      <c r="H2" s="148"/>
      <c r="I2" s="149"/>
      <c r="J2" s="145" t="s">
        <v>8</v>
      </c>
      <c r="K2" s="146"/>
      <c r="L2" s="146"/>
      <c r="M2" s="146"/>
      <c r="N2" s="146"/>
      <c r="O2" s="147"/>
    </row>
    <row r="3" spans="1:15" s="4" customFormat="1" ht="97.5" customHeight="1" thickBot="1">
      <c r="A3" s="142"/>
      <c r="B3" s="128"/>
      <c r="C3" s="128"/>
      <c r="D3" s="36" t="s">
        <v>2</v>
      </c>
      <c r="E3" s="36" t="s">
        <v>3</v>
      </c>
      <c r="F3" s="36" t="s">
        <v>4</v>
      </c>
      <c r="G3" s="36" t="s">
        <v>5</v>
      </c>
      <c r="H3" s="37" t="s">
        <v>6</v>
      </c>
      <c r="I3" s="38" t="s">
        <v>7</v>
      </c>
      <c r="J3" s="39" t="s">
        <v>2</v>
      </c>
      <c r="K3" s="36" t="s">
        <v>3</v>
      </c>
      <c r="L3" s="36" t="s">
        <v>4</v>
      </c>
      <c r="M3" s="36" t="s">
        <v>5</v>
      </c>
      <c r="N3" s="42" t="s">
        <v>7</v>
      </c>
      <c r="O3" s="45" t="s">
        <v>30</v>
      </c>
    </row>
    <row r="4" spans="1:15" s="4" customFormat="1" ht="45" customHeight="1" thickTop="1">
      <c r="A4" s="150" t="s">
        <v>71</v>
      </c>
      <c r="B4" s="10">
        <v>1</v>
      </c>
      <c r="C4" s="31" t="str">
        <f>'３・４年印刷用'!C5</f>
        <v>道徳の勉強は、すきだ。</v>
      </c>
      <c r="D4" s="13"/>
      <c r="E4" s="14"/>
      <c r="F4" s="14"/>
      <c r="G4" s="14"/>
      <c r="H4" s="32">
        <f t="shared" ref="H4:H13" si="0">SUM(D4:G4)</f>
        <v>0</v>
      </c>
      <c r="I4" s="33">
        <f t="shared" ref="I4:I13" si="1">SUM(D4:E4)</f>
        <v>0</v>
      </c>
      <c r="J4" s="34" t="e">
        <f t="shared" ref="J4:J13" si="2">D4/H4</f>
        <v>#DIV/0!</v>
      </c>
      <c r="K4" s="35" t="e">
        <f t="shared" ref="K4:K13" si="3">E4/ H4</f>
        <v>#DIV/0!</v>
      </c>
      <c r="L4" s="35" t="e">
        <f t="shared" ref="L4:L13" si="4">F4/H4</f>
        <v>#DIV/0!</v>
      </c>
      <c r="M4" s="35" t="e">
        <f t="shared" ref="M4:M13" si="5">G4/H4</f>
        <v>#DIV/0!</v>
      </c>
      <c r="N4" s="43" t="e">
        <f t="shared" ref="N4:N13" si="6">I4/H4</f>
        <v>#DIV/0!</v>
      </c>
      <c r="O4" s="151" t="e">
        <f>AVERAGE(N4:N5)</f>
        <v>#DIV/0!</v>
      </c>
    </row>
    <row r="5" spans="1:15" s="4" customFormat="1" ht="45" customHeight="1">
      <c r="A5" s="132"/>
      <c r="B5" s="9">
        <v>2</v>
      </c>
      <c r="C5" s="11" t="str">
        <f>'３・４年印刷用'!C6</f>
        <v>道徳のじゅぎょうでは、自分の考えを伝えたり、ほかの人の考えを聞いたりしながら、自分のことについてよく考えている。</v>
      </c>
      <c r="D5" s="14"/>
      <c r="E5" s="14"/>
      <c r="F5" s="14"/>
      <c r="G5" s="14"/>
      <c r="H5" s="20">
        <f t="shared" si="0"/>
        <v>0</v>
      </c>
      <c r="I5" s="24">
        <f t="shared" si="1"/>
        <v>0</v>
      </c>
      <c r="J5" s="22" t="e">
        <f t="shared" si="2"/>
        <v>#DIV/0!</v>
      </c>
      <c r="K5" s="21" t="e">
        <f t="shared" si="3"/>
        <v>#DIV/0!</v>
      </c>
      <c r="L5" s="21" t="e">
        <f t="shared" si="4"/>
        <v>#DIV/0!</v>
      </c>
      <c r="M5" s="21" t="e">
        <f t="shared" si="5"/>
        <v>#DIV/0!</v>
      </c>
      <c r="N5" s="44" t="e">
        <f t="shared" si="6"/>
        <v>#DIV/0!</v>
      </c>
      <c r="O5" s="144"/>
    </row>
    <row r="6" spans="1:15" s="4" customFormat="1" ht="45" customHeight="1">
      <c r="A6" s="133" t="s">
        <v>0</v>
      </c>
      <c r="B6" s="9">
        <v>3</v>
      </c>
      <c r="C6" s="31" t="str">
        <f>'３・４年印刷用'!C7</f>
        <v>ものごとをさいごまでがんばってやって、うれしかったことがある。</v>
      </c>
      <c r="D6" s="14"/>
      <c r="E6" s="14"/>
      <c r="F6" s="14"/>
      <c r="G6" s="14"/>
      <c r="H6" s="20">
        <f t="shared" si="0"/>
        <v>0</v>
      </c>
      <c r="I6" s="24">
        <f t="shared" si="1"/>
        <v>0</v>
      </c>
      <c r="J6" s="22" t="e">
        <f t="shared" si="2"/>
        <v>#DIV/0!</v>
      </c>
      <c r="K6" s="21" t="e">
        <f t="shared" si="3"/>
        <v>#DIV/0!</v>
      </c>
      <c r="L6" s="21" t="e">
        <f t="shared" si="4"/>
        <v>#DIV/0!</v>
      </c>
      <c r="M6" s="21" t="e">
        <f t="shared" si="5"/>
        <v>#DIV/0!</v>
      </c>
      <c r="N6" s="44" t="e">
        <f t="shared" si="6"/>
        <v>#DIV/0!</v>
      </c>
      <c r="O6" s="138" t="e">
        <f>AVERAGE(N6:N7)</f>
        <v>#DIV/0!</v>
      </c>
    </row>
    <row r="7" spans="1:15" s="4" customFormat="1" ht="45" customHeight="1">
      <c r="A7" s="134"/>
      <c r="B7" s="9">
        <v>4</v>
      </c>
      <c r="C7" s="28" t="str">
        <f>'３・４年印刷用'!C8</f>
        <v>自分には、よいところがあると思う。</v>
      </c>
      <c r="D7" s="14"/>
      <c r="E7" s="14"/>
      <c r="F7" s="14"/>
      <c r="G7" s="14"/>
      <c r="H7" s="20">
        <f t="shared" si="0"/>
        <v>0</v>
      </c>
      <c r="I7" s="24">
        <f t="shared" si="1"/>
        <v>0</v>
      </c>
      <c r="J7" s="22" t="e">
        <f t="shared" si="2"/>
        <v>#DIV/0!</v>
      </c>
      <c r="K7" s="21" t="e">
        <f t="shared" si="3"/>
        <v>#DIV/0!</v>
      </c>
      <c r="L7" s="21" t="e">
        <f t="shared" si="4"/>
        <v>#DIV/0!</v>
      </c>
      <c r="M7" s="21" t="e">
        <f t="shared" si="5"/>
        <v>#DIV/0!</v>
      </c>
      <c r="N7" s="44" t="e">
        <f t="shared" si="6"/>
        <v>#DIV/0!</v>
      </c>
      <c r="O7" s="144"/>
    </row>
    <row r="8" spans="1:15" s="4" customFormat="1" ht="45" customHeight="1">
      <c r="A8" s="92" t="s">
        <v>58</v>
      </c>
      <c r="B8" s="9">
        <v>5</v>
      </c>
      <c r="C8" s="31" t="str">
        <f>'３・４年印刷用'!C9</f>
        <v>がんばりたいことや目標をもっている。</v>
      </c>
      <c r="D8" s="14"/>
      <c r="E8" s="14"/>
      <c r="F8" s="14"/>
      <c r="G8" s="14"/>
      <c r="H8" s="20">
        <f t="shared" si="0"/>
        <v>0</v>
      </c>
      <c r="I8" s="24">
        <f t="shared" si="1"/>
        <v>0</v>
      </c>
      <c r="J8" s="22" t="e">
        <f t="shared" si="2"/>
        <v>#DIV/0!</v>
      </c>
      <c r="K8" s="21" t="e">
        <f t="shared" si="3"/>
        <v>#DIV/0!</v>
      </c>
      <c r="L8" s="21" t="e">
        <f t="shared" si="4"/>
        <v>#DIV/0!</v>
      </c>
      <c r="M8" s="21" t="e">
        <f t="shared" si="5"/>
        <v>#DIV/0!</v>
      </c>
      <c r="N8" s="44" t="e">
        <f t="shared" si="6"/>
        <v>#DIV/0!</v>
      </c>
      <c r="O8" s="113" t="e">
        <f>AVERAGE(N8)</f>
        <v>#DIV/0!</v>
      </c>
    </row>
    <row r="9" spans="1:15" s="4" customFormat="1" ht="45" customHeight="1">
      <c r="A9" s="135" t="s">
        <v>59</v>
      </c>
      <c r="B9" s="9">
        <v>6</v>
      </c>
      <c r="C9" s="31" t="str">
        <f>'３・４年印刷用'!C10</f>
        <v>人の気もちがわかる人間になりたいと思う。</v>
      </c>
      <c r="D9" s="14"/>
      <c r="E9" s="14"/>
      <c r="F9" s="14"/>
      <c r="G9" s="14"/>
      <c r="H9" s="20">
        <f t="shared" si="0"/>
        <v>0</v>
      </c>
      <c r="I9" s="24">
        <f t="shared" si="1"/>
        <v>0</v>
      </c>
      <c r="J9" s="22" t="e">
        <f t="shared" si="2"/>
        <v>#DIV/0!</v>
      </c>
      <c r="K9" s="21" t="e">
        <f t="shared" si="3"/>
        <v>#DIV/0!</v>
      </c>
      <c r="L9" s="21" t="e">
        <f t="shared" si="4"/>
        <v>#DIV/0!</v>
      </c>
      <c r="M9" s="21" t="e">
        <f t="shared" si="5"/>
        <v>#DIV/0!</v>
      </c>
      <c r="N9" s="44" t="e">
        <f t="shared" si="6"/>
        <v>#DIV/0!</v>
      </c>
      <c r="O9" s="138" t="e">
        <f>AVERAGE(N9:N10)</f>
        <v>#DIV/0!</v>
      </c>
    </row>
    <row r="10" spans="1:15" s="4" customFormat="1" ht="45" customHeight="1">
      <c r="A10" s="136"/>
      <c r="B10" s="9">
        <v>7</v>
      </c>
      <c r="C10" s="28" t="str">
        <f>'３・４年印刷用'!C11</f>
        <v>いじめはどんな理由があっても、いけないことだと思う。</v>
      </c>
      <c r="D10" s="14"/>
      <c r="E10" s="14"/>
      <c r="F10" s="14"/>
      <c r="G10" s="14"/>
      <c r="H10" s="20">
        <f t="shared" si="0"/>
        <v>0</v>
      </c>
      <c r="I10" s="24">
        <f t="shared" si="1"/>
        <v>0</v>
      </c>
      <c r="J10" s="22" t="e">
        <f t="shared" si="2"/>
        <v>#DIV/0!</v>
      </c>
      <c r="K10" s="21" t="e">
        <f t="shared" si="3"/>
        <v>#DIV/0!</v>
      </c>
      <c r="L10" s="21" t="e">
        <f t="shared" si="4"/>
        <v>#DIV/0!</v>
      </c>
      <c r="M10" s="21" t="e">
        <f t="shared" si="5"/>
        <v>#DIV/0!</v>
      </c>
      <c r="N10" s="44" t="e">
        <f t="shared" si="6"/>
        <v>#DIV/0!</v>
      </c>
      <c r="O10" s="140"/>
    </row>
    <row r="11" spans="1:15" s="4" customFormat="1" ht="45" customHeight="1">
      <c r="A11" s="92" t="s">
        <v>60</v>
      </c>
      <c r="B11" s="9">
        <v>8</v>
      </c>
      <c r="C11" s="31" t="str">
        <f>'３・４年印刷用'!C12</f>
        <v>学校のきまりを守っている。</v>
      </c>
      <c r="D11" s="14"/>
      <c r="E11" s="14"/>
      <c r="F11" s="14"/>
      <c r="G11" s="14"/>
      <c r="H11" s="20">
        <f t="shared" si="0"/>
        <v>0</v>
      </c>
      <c r="I11" s="24">
        <f t="shared" si="1"/>
        <v>0</v>
      </c>
      <c r="J11" s="22" t="e">
        <f t="shared" si="2"/>
        <v>#DIV/0!</v>
      </c>
      <c r="K11" s="21" t="e">
        <f t="shared" si="3"/>
        <v>#DIV/0!</v>
      </c>
      <c r="L11" s="21" t="e">
        <f t="shared" si="4"/>
        <v>#DIV/0!</v>
      </c>
      <c r="M11" s="21" t="e">
        <f t="shared" si="5"/>
        <v>#DIV/0!</v>
      </c>
      <c r="N11" s="44" t="e">
        <f t="shared" si="6"/>
        <v>#DIV/0!</v>
      </c>
      <c r="O11" s="114" t="e">
        <f>AVERAGE(N11)</f>
        <v>#DIV/0!</v>
      </c>
    </row>
    <row r="12" spans="1:15" s="4" customFormat="1" ht="45" customHeight="1">
      <c r="A12" s="135" t="s">
        <v>70</v>
      </c>
      <c r="B12" s="9">
        <v>9</v>
      </c>
      <c r="C12" s="28" t="str">
        <f>'３・４年印刷用'!C13</f>
        <v>自分のすんでいる町や地いきのために何かしたいと思う。</v>
      </c>
      <c r="D12" s="14"/>
      <c r="E12" s="14"/>
      <c r="F12" s="14"/>
      <c r="G12" s="14"/>
      <c r="H12" s="20">
        <f t="shared" si="0"/>
        <v>0</v>
      </c>
      <c r="I12" s="24">
        <f t="shared" si="1"/>
        <v>0</v>
      </c>
      <c r="J12" s="22" t="e">
        <f t="shared" si="2"/>
        <v>#DIV/0!</v>
      </c>
      <c r="K12" s="21" t="e">
        <f t="shared" si="3"/>
        <v>#DIV/0!</v>
      </c>
      <c r="L12" s="21" t="e">
        <f t="shared" si="4"/>
        <v>#DIV/0!</v>
      </c>
      <c r="M12" s="21" t="e">
        <f t="shared" si="5"/>
        <v>#DIV/0!</v>
      </c>
      <c r="N12" s="44" t="e">
        <f t="shared" si="6"/>
        <v>#DIV/0!</v>
      </c>
      <c r="O12" s="138" t="e">
        <f>AVERAGE(N12:N13)</f>
        <v>#DIV/0!</v>
      </c>
    </row>
    <row r="13" spans="1:15" s="4" customFormat="1" ht="45" customHeight="1" thickBot="1">
      <c r="A13" s="137"/>
      <c r="B13" s="12">
        <v>10</v>
      </c>
      <c r="C13" s="105" t="str">
        <f>'３・４年印刷用'!C14</f>
        <v>自分のすんでいる町が好きだ。</v>
      </c>
      <c r="D13" s="106"/>
      <c r="E13" s="106"/>
      <c r="F13" s="106"/>
      <c r="G13" s="106"/>
      <c r="H13" s="100">
        <f t="shared" si="0"/>
        <v>0</v>
      </c>
      <c r="I13" s="101">
        <f t="shared" si="1"/>
        <v>0</v>
      </c>
      <c r="J13" s="102" t="e">
        <f t="shared" si="2"/>
        <v>#DIV/0!</v>
      </c>
      <c r="K13" s="103" t="e">
        <f t="shared" si="3"/>
        <v>#DIV/0!</v>
      </c>
      <c r="L13" s="103" t="e">
        <f t="shared" si="4"/>
        <v>#DIV/0!</v>
      </c>
      <c r="M13" s="103" t="e">
        <f t="shared" si="5"/>
        <v>#DIV/0!</v>
      </c>
      <c r="N13" s="104" t="e">
        <f t="shared" si="6"/>
        <v>#DIV/0!</v>
      </c>
      <c r="O13" s="139"/>
    </row>
    <row r="14" spans="1:15" ht="22.5" customHeight="1">
      <c r="A14" s="124"/>
      <c r="B14" s="125"/>
      <c r="C14" s="125"/>
      <c r="D14" s="125"/>
      <c r="E14" s="125"/>
      <c r="F14" s="125"/>
      <c r="G14" s="125"/>
    </row>
    <row r="17" ht="24" customHeight="1"/>
    <row r="18" ht="24" customHeight="1"/>
  </sheetData>
  <sheetProtection formatCells="0"/>
  <mergeCells count="16">
    <mergeCell ref="J1:O1"/>
    <mergeCell ref="A1:C1"/>
    <mergeCell ref="A14:G14"/>
    <mergeCell ref="J2:O2"/>
    <mergeCell ref="A4:A5"/>
    <mergeCell ref="A9:A10"/>
    <mergeCell ref="O4:O5"/>
    <mergeCell ref="O6:O7"/>
    <mergeCell ref="A12:A13"/>
    <mergeCell ref="A2:A3"/>
    <mergeCell ref="O12:O13"/>
    <mergeCell ref="B2:B3"/>
    <mergeCell ref="C2:C3"/>
    <mergeCell ref="D2:I2"/>
    <mergeCell ref="A6:A7"/>
    <mergeCell ref="O9:O10"/>
  </mergeCells>
  <phoneticPr fontId="2"/>
  <conditionalFormatting sqref="H1 D4:G13">
    <cfRule type="containsBlanks" dxfId="7" priority="1" stopIfTrue="1">
      <formula>LEN(TRIM(D1))=0</formula>
    </cfRule>
  </conditionalFormatting>
  <pageMargins left="0.39370078740157483" right="0.39370078740157483" top="0.39370078740157483" bottom="0.39370078740157483" header="0.51181102362204722" footer="0.51181102362204722"/>
  <pageSetup paperSize="9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/>
  </sheetPr>
  <dimension ref="A1:M38"/>
  <sheetViews>
    <sheetView view="pageBreakPreview" zoomScaleNormal="100" zoomScaleSheetLayoutView="100" workbookViewId="0">
      <selection sqref="A1:XFD1048576"/>
    </sheetView>
  </sheetViews>
  <sheetFormatPr defaultRowHeight="13.2"/>
  <cols>
    <col min="1" max="1" width="6.44140625" customWidth="1"/>
    <col min="2" max="11" width="8.6640625" customWidth="1"/>
    <col min="12" max="12" width="5.109375" customWidth="1"/>
  </cols>
  <sheetData>
    <row r="1" spans="1:13" ht="26.4" thickBot="1">
      <c r="A1" s="155" t="s">
        <v>38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</row>
    <row r="2" spans="1:13" ht="30" customHeight="1" thickBot="1">
      <c r="A2" s="159" t="s">
        <v>11</v>
      </c>
      <c r="B2" s="160"/>
      <c r="C2" s="160"/>
      <c r="D2" s="160"/>
      <c r="E2" s="160"/>
      <c r="F2" s="160"/>
      <c r="G2" s="165"/>
      <c r="H2" s="166"/>
      <c r="I2" s="166"/>
      <c r="J2" s="166"/>
      <c r="K2" s="167"/>
    </row>
    <row r="3" spans="1:13" ht="19.5" customHeight="1" thickTop="1">
      <c r="A3" s="172" t="s">
        <v>15</v>
      </c>
      <c r="B3" s="173"/>
      <c r="C3" s="174"/>
      <c r="D3" s="161" t="s">
        <v>9</v>
      </c>
      <c r="E3" s="168"/>
      <c r="F3" s="169"/>
      <c r="G3" s="161">
        <f>'３・４年　１回目'!H1</f>
        <v>0</v>
      </c>
      <c r="H3" s="162"/>
      <c r="I3" s="162"/>
      <c r="J3" s="162"/>
      <c r="K3" s="90" t="s">
        <v>17</v>
      </c>
    </row>
    <row r="4" spans="1:13" ht="19.5" customHeight="1" thickBot="1">
      <c r="A4" s="175"/>
      <c r="B4" s="176"/>
      <c r="C4" s="177"/>
      <c r="D4" s="163" t="s">
        <v>12</v>
      </c>
      <c r="E4" s="170"/>
      <c r="F4" s="171"/>
      <c r="G4" s="163">
        <f>'３・４年　２回目'!H1</f>
        <v>0</v>
      </c>
      <c r="H4" s="164"/>
      <c r="I4" s="164"/>
      <c r="J4" s="164"/>
      <c r="K4" s="91" t="s">
        <v>17</v>
      </c>
    </row>
    <row r="5" spans="1:13" ht="26.25" customHeight="1" thickBot="1">
      <c r="A5" s="156" t="s">
        <v>18</v>
      </c>
      <c r="B5" s="157"/>
      <c r="C5" s="157"/>
      <c r="D5" s="157"/>
      <c r="E5" s="157"/>
      <c r="F5" s="157"/>
      <c r="G5" s="157"/>
      <c r="H5" s="157"/>
      <c r="I5" s="157"/>
      <c r="J5" s="157"/>
      <c r="K5" s="158"/>
    </row>
    <row r="6" spans="1:13" ht="43.5" customHeight="1" thickBot="1">
      <c r="A6" s="41"/>
      <c r="B6" s="51">
        <v>1</v>
      </c>
      <c r="C6" s="52">
        <v>2</v>
      </c>
      <c r="D6" s="52">
        <v>3</v>
      </c>
      <c r="E6" s="52">
        <v>4</v>
      </c>
      <c r="F6" s="61">
        <v>5</v>
      </c>
      <c r="G6" s="52">
        <v>6</v>
      </c>
      <c r="H6" s="52">
        <v>7</v>
      </c>
      <c r="I6" s="52">
        <v>8</v>
      </c>
      <c r="J6" s="52">
        <v>9</v>
      </c>
      <c r="K6" s="107">
        <v>10</v>
      </c>
    </row>
    <row r="7" spans="1:13" ht="43.5" customHeight="1" thickTop="1">
      <c r="A7" s="66" t="s">
        <v>21</v>
      </c>
      <c r="B7" s="62" t="e">
        <f>'３・４年　１回目'!N4</f>
        <v>#DIV/0!</v>
      </c>
      <c r="C7" s="63" t="e">
        <f>'３・４年　１回目'!N5</f>
        <v>#DIV/0!</v>
      </c>
      <c r="D7" s="63" t="e">
        <f>'３・４年　１回目'!N6</f>
        <v>#DIV/0!</v>
      </c>
      <c r="E7" s="63" t="e">
        <f>'３・４年　１回目'!N7</f>
        <v>#DIV/0!</v>
      </c>
      <c r="F7" s="63" t="e">
        <f>'３・４年　１回目'!N8</f>
        <v>#DIV/0!</v>
      </c>
      <c r="G7" s="65" t="e">
        <f>'３・４年　１回目'!N9</f>
        <v>#DIV/0!</v>
      </c>
      <c r="H7" s="65" t="e">
        <f>'３・４年　１回目'!N10</f>
        <v>#DIV/0!</v>
      </c>
      <c r="I7" s="65" t="e">
        <f>'３・４年　１回目'!N11</f>
        <v>#DIV/0!</v>
      </c>
      <c r="J7" s="65" t="e">
        <f>'３・４年　１回目'!N12</f>
        <v>#DIV/0!</v>
      </c>
      <c r="K7" s="108" t="e">
        <f>'３・４年　１回目'!N13</f>
        <v>#DIV/0!</v>
      </c>
    </row>
    <row r="8" spans="1:13" ht="43.5" customHeight="1" thickBot="1">
      <c r="A8" s="67" t="s">
        <v>22</v>
      </c>
      <c r="B8" s="49" t="e">
        <f>'３・４年　２回目'!N4</f>
        <v>#DIV/0!</v>
      </c>
      <c r="C8" s="50" t="e">
        <f>'３・４年　２回目'!N5</f>
        <v>#DIV/0!</v>
      </c>
      <c r="D8" s="50" t="e">
        <f>'３・４年　２回目'!N6</f>
        <v>#DIV/0!</v>
      </c>
      <c r="E8" s="50" t="e">
        <f>'３・４年　２回目'!N7</f>
        <v>#DIV/0!</v>
      </c>
      <c r="F8" s="50" t="e">
        <f>'３・４年　２回目'!N8</f>
        <v>#DIV/0!</v>
      </c>
      <c r="G8" s="64" t="e">
        <f>'３・４年　２回目'!N9</f>
        <v>#DIV/0!</v>
      </c>
      <c r="H8" s="64" t="e">
        <f>'３・４年　２回目'!N10</f>
        <v>#DIV/0!</v>
      </c>
      <c r="I8" s="64" t="e">
        <f>'３・４年　２回目'!N11</f>
        <v>#DIV/0!</v>
      </c>
      <c r="J8" s="64" t="e">
        <f>'３・４年　２回目'!N12</f>
        <v>#DIV/0!</v>
      </c>
      <c r="K8" s="109" t="e">
        <f>'３・４年　２回目'!N13</f>
        <v>#DIV/0!</v>
      </c>
    </row>
    <row r="9" spans="1:13">
      <c r="L9">
        <f>'３・４年印刷用'!B5</f>
        <v>1</v>
      </c>
      <c r="M9" t="str">
        <f>'３・４年印刷用'!C5</f>
        <v>道徳の勉強は、すきだ。</v>
      </c>
    </row>
    <row r="10" spans="1:13">
      <c r="L10">
        <f>'３・４年印刷用'!B6</f>
        <v>2</v>
      </c>
      <c r="M10" t="str">
        <f>'３・４年印刷用'!C6</f>
        <v>道徳のじゅぎょうでは、自分の考えを伝えたり、ほかの人の考えを聞いたりしながら、自分のことについてよく考えている。</v>
      </c>
    </row>
    <row r="11" spans="1:13">
      <c r="L11">
        <f>'３・４年印刷用'!B7</f>
        <v>3</v>
      </c>
      <c r="M11" t="str">
        <f>'３・４年印刷用'!C7</f>
        <v>ものごとをさいごまでがんばってやって、うれしかったことがある。</v>
      </c>
    </row>
    <row r="12" spans="1:13">
      <c r="L12">
        <f>'３・４年印刷用'!B8</f>
        <v>4</v>
      </c>
      <c r="M12" t="str">
        <f>'３・４年印刷用'!C8</f>
        <v>自分には、よいところがあると思う。</v>
      </c>
    </row>
    <row r="13" spans="1:13">
      <c r="L13">
        <f>'３・４年印刷用'!B9</f>
        <v>5</v>
      </c>
      <c r="M13" t="str">
        <f>'３・４年印刷用'!C9</f>
        <v>がんばりたいことや目標をもっている。</v>
      </c>
    </row>
    <row r="14" spans="1:13">
      <c r="L14">
        <f>'３・４年印刷用'!B10</f>
        <v>6</v>
      </c>
      <c r="M14" t="str">
        <f>'３・４年印刷用'!C10</f>
        <v>人の気もちがわかる人間になりたいと思う。</v>
      </c>
    </row>
    <row r="15" spans="1:13">
      <c r="L15">
        <f>'３・４年印刷用'!B11</f>
        <v>7</v>
      </c>
      <c r="M15" t="str">
        <f>'３・４年印刷用'!C11</f>
        <v>いじめはどんな理由があっても、いけないことだと思う。</v>
      </c>
    </row>
    <row r="16" spans="1:13">
      <c r="L16">
        <f>'３・４年印刷用'!B12</f>
        <v>8</v>
      </c>
      <c r="M16" t="str">
        <f>'３・４年印刷用'!C12</f>
        <v>学校のきまりを守っている。</v>
      </c>
    </row>
    <row r="17" spans="12:13">
      <c r="L17">
        <f>'３・４年印刷用'!B13</f>
        <v>9</v>
      </c>
      <c r="M17" t="str">
        <f>'３・４年印刷用'!C13</f>
        <v>自分のすんでいる町や地いきのために何かしたいと思う。</v>
      </c>
    </row>
    <row r="18" spans="12:13">
      <c r="L18">
        <f>'３・４年印刷用'!B14</f>
        <v>10</v>
      </c>
      <c r="M18" t="str">
        <f>'３・４年印刷用'!C14</f>
        <v>自分のすんでいる町が好きだ。</v>
      </c>
    </row>
    <row r="35" spans="1:11" ht="13.8" thickBot="1">
      <c r="A35" t="s">
        <v>13</v>
      </c>
    </row>
    <row r="36" spans="1:11" ht="88.5" customHeight="1" thickBot="1">
      <c r="A36" s="152"/>
      <c r="B36" s="153"/>
      <c r="C36" s="153"/>
      <c r="D36" s="153"/>
      <c r="E36" s="153"/>
      <c r="F36" s="153"/>
      <c r="G36" s="153"/>
      <c r="H36" s="153"/>
      <c r="I36" s="153"/>
      <c r="J36" s="153"/>
      <c r="K36" s="154"/>
    </row>
    <row r="37" spans="1:11" ht="13.8" thickBot="1">
      <c r="A37" t="s">
        <v>14</v>
      </c>
      <c r="C37" s="19"/>
      <c r="D37" s="19"/>
      <c r="E37" s="19"/>
      <c r="F37" s="19"/>
    </row>
    <row r="38" spans="1:11" ht="88.5" customHeight="1" thickBot="1">
      <c r="A38" s="152"/>
      <c r="B38" s="153"/>
      <c r="C38" s="153"/>
      <c r="D38" s="153"/>
      <c r="E38" s="153"/>
      <c r="F38" s="153"/>
      <c r="G38" s="153"/>
      <c r="H38" s="153"/>
      <c r="I38" s="153"/>
      <c r="J38" s="153"/>
      <c r="K38" s="154"/>
    </row>
  </sheetData>
  <sheetProtection sheet="1" formatCells="0" formatColumns="0" formatRows="0" insertColumns="0" insertRows="0"/>
  <mergeCells count="11">
    <mergeCell ref="A38:K38"/>
    <mergeCell ref="A1:K1"/>
    <mergeCell ref="A5:K5"/>
    <mergeCell ref="A36:K36"/>
    <mergeCell ref="A2:F2"/>
    <mergeCell ref="G2:K2"/>
    <mergeCell ref="G3:J3"/>
    <mergeCell ref="G4:J4"/>
    <mergeCell ref="D3:F3"/>
    <mergeCell ref="D4:F4"/>
    <mergeCell ref="A3:C4"/>
  </mergeCells>
  <phoneticPr fontId="2"/>
  <conditionalFormatting sqref="G2:K2 A36:K36 A38:K38">
    <cfRule type="containsBlanks" dxfId="6" priority="1" stopIfTrue="1">
      <formula>LEN(TRIM(A2))=0</formula>
    </cfRule>
  </conditionalFormatting>
  <pageMargins left="0.51181102362204722" right="0.51181102362204722" top="0.74803149606299213" bottom="0.74803149606299213" header="0.31496062992125984" footer="0.31496062992125984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/>
  </sheetPr>
  <dimension ref="A1:O18"/>
  <sheetViews>
    <sheetView showGridLines="0" view="pageBreakPreview" zoomScaleNormal="100" zoomScaleSheetLayoutView="100" workbookViewId="0">
      <selection activeCell="F5" sqref="F5"/>
    </sheetView>
  </sheetViews>
  <sheetFormatPr defaultColWidth="9" defaultRowHeight="13.2"/>
  <cols>
    <col min="1" max="1" width="5" style="18" customWidth="1"/>
    <col min="2" max="2" width="3.109375" style="18" customWidth="1"/>
    <col min="3" max="3" width="52.33203125" style="18" customWidth="1"/>
    <col min="4" max="14" width="6.77734375" style="18" customWidth="1"/>
    <col min="15" max="15" width="6.77734375" style="23" customWidth="1"/>
    <col min="16" max="16384" width="9" style="18"/>
  </cols>
  <sheetData>
    <row r="1" spans="1:15" s="30" customFormat="1" ht="20.25" customHeight="1" thickBot="1">
      <c r="A1" s="126" t="str">
        <f>'５・６年印刷用'!A1</f>
        <v>道徳意識調査　（小学校５・６年生用）</v>
      </c>
      <c r="B1" s="126"/>
      <c r="C1" s="126"/>
      <c r="D1" s="29"/>
      <c r="E1" s="48"/>
      <c r="F1" s="48"/>
      <c r="G1" s="73" t="s">
        <v>16</v>
      </c>
      <c r="H1" s="79"/>
      <c r="I1" s="68" t="s">
        <v>17</v>
      </c>
      <c r="J1" s="129" t="s">
        <v>9</v>
      </c>
      <c r="K1" s="130"/>
      <c r="L1" s="130"/>
      <c r="M1" s="130"/>
      <c r="N1" s="130"/>
      <c r="O1" s="130"/>
    </row>
    <row r="2" spans="1:15" s="15" customFormat="1" ht="20.25" customHeight="1">
      <c r="A2" s="141"/>
      <c r="B2" s="127" t="s">
        <v>1</v>
      </c>
      <c r="C2" s="127" t="str">
        <f>IF('５・６年印刷用'!C4="","",'５・６年印刷用'!C4)</f>
        <v>質　問　項　目</v>
      </c>
      <c r="D2" s="148" t="s">
        <v>31</v>
      </c>
      <c r="E2" s="148"/>
      <c r="F2" s="148"/>
      <c r="G2" s="148"/>
      <c r="H2" s="148"/>
      <c r="I2" s="149"/>
      <c r="J2" s="145" t="s">
        <v>8</v>
      </c>
      <c r="K2" s="146"/>
      <c r="L2" s="146"/>
      <c r="M2" s="146"/>
      <c r="N2" s="146"/>
      <c r="O2" s="147"/>
    </row>
    <row r="3" spans="1:15" s="4" customFormat="1" ht="97.5" customHeight="1" thickBot="1">
      <c r="A3" s="142"/>
      <c r="B3" s="128"/>
      <c r="C3" s="128"/>
      <c r="D3" s="36" t="s">
        <v>2</v>
      </c>
      <c r="E3" s="36" t="s">
        <v>3</v>
      </c>
      <c r="F3" s="36" t="s">
        <v>4</v>
      </c>
      <c r="G3" s="36" t="s">
        <v>5</v>
      </c>
      <c r="H3" s="37" t="s">
        <v>6</v>
      </c>
      <c r="I3" s="38" t="s">
        <v>7</v>
      </c>
      <c r="J3" s="39" t="s">
        <v>2</v>
      </c>
      <c r="K3" s="36" t="s">
        <v>3</v>
      </c>
      <c r="L3" s="36" t="s">
        <v>4</v>
      </c>
      <c r="M3" s="36" t="s">
        <v>5</v>
      </c>
      <c r="N3" s="42" t="s">
        <v>7</v>
      </c>
      <c r="O3" s="45" t="s">
        <v>30</v>
      </c>
    </row>
    <row r="4" spans="1:15" s="4" customFormat="1" ht="45" customHeight="1" thickTop="1">
      <c r="A4" s="150" t="s">
        <v>71</v>
      </c>
      <c r="B4" s="10">
        <v>1</v>
      </c>
      <c r="C4" s="31" t="str">
        <f>'５・６年印刷用'!C5</f>
        <v>道徳の勉強は、すきだ。</v>
      </c>
      <c r="D4" s="13"/>
      <c r="E4" s="13"/>
      <c r="F4" s="13"/>
      <c r="G4" s="13"/>
      <c r="H4" s="32">
        <f>SUM(D4:G4)</f>
        <v>0</v>
      </c>
      <c r="I4" s="33">
        <f>SUM(D4:E4)</f>
        <v>0</v>
      </c>
      <c r="J4" s="34" t="e">
        <f>D4/H4</f>
        <v>#DIV/0!</v>
      </c>
      <c r="K4" s="35" t="e">
        <f>E4/ H4</f>
        <v>#DIV/0!</v>
      </c>
      <c r="L4" s="35" t="e">
        <f>F4/H4</f>
        <v>#DIV/0!</v>
      </c>
      <c r="M4" s="35" t="e">
        <f>G4/H4</f>
        <v>#DIV/0!</v>
      </c>
      <c r="N4" s="43" t="e">
        <f>I4/H4</f>
        <v>#DIV/0!</v>
      </c>
      <c r="O4" s="151" t="e">
        <f>AVERAGE(N4:N5)</f>
        <v>#DIV/0!</v>
      </c>
    </row>
    <row r="5" spans="1:15" s="4" customFormat="1" ht="45" customHeight="1">
      <c r="A5" s="132"/>
      <c r="B5" s="9">
        <v>2</v>
      </c>
      <c r="C5" s="11" t="str">
        <f>'５・６年印刷用'!C6</f>
        <v>道徳の授業では、自分の考えを伝えたり、ほかの人の考えを聞いたりしながら、自分のこと（生き方）についてよく考えている。</v>
      </c>
      <c r="D5" s="14"/>
      <c r="E5" s="14"/>
      <c r="F5" s="14"/>
      <c r="G5" s="14"/>
      <c r="H5" s="20">
        <f t="shared" ref="H5:H13" si="0">SUM(D5:G5)</f>
        <v>0</v>
      </c>
      <c r="I5" s="24">
        <f t="shared" ref="I5:I13" si="1">SUM(D5:E5)</f>
        <v>0</v>
      </c>
      <c r="J5" s="22" t="e">
        <f t="shared" ref="J5:J13" si="2">D5/H5</f>
        <v>#DIV/0!</v>
      </c>
      <c r="K5" s="21" t="e">
        <f t="shared" ref="K5:K13" si="3">E5/ H5</f>
        <v>#DIV/0!</v>
      </c>
      <c r="L5" s="21" t="e">
        <f t="shared" ref="L5:L13" si="4">F5/H5</f>
        <v>#DIV/0!</v>
      </c>
      <c r="M5" s="21" t="e">
        <f t="shared" ref="M5:M13" si="5">G5/H5</f>
        <v>#DIV/0!</v>
      </c>
      <c r="N5" s="44" t="e">
        <f t="shared" ref="N5:N13" si="6">I5/H5</f>
        <v>#DIV/0!</v>
      </c>
      <c r="O5" s="144"/>
    </row>
    <row r="6" spans="1:15" s="4" customFormat="1" ht="45" customHeight="1">
      <c r="A6" s="133" t="s">
        <v>0</v>
      </c>
      <c r="B6" s="9">
        <v>3</v>
      </c>
      <c r="C6" s="31" t="str">
        <f>'５・６年印刷用'!C7</f>
        <v>ものごとを最後までやりとげて、うれしかったことがある。</v>
      </c>
      <c r="D6" s="14"/>
      <c r="E6" s="14"/>
      <c r="F6" s="14"/>
      <c r="G6" s="14"/>
      <c r="H6" s="20">
        <f t="shared" si="0"/>
        <v>0</v>
      </c>
      <c r="I6" s="24">
        <f t="shared" si="1"/>
        <v>0</v>
      </c>
      <c r="J6" s="22" t="e">
        <f t="shared" si="2"/>
        <v>#DIV/0!</v>
      </c>
      <c r="K6" s="21" t="e">
        <f t="shared" si="3"/>
        <v>#DIV/0!</v>
      </c>
      <c r="L6" s="21" t="e">
        <f t="shared" si="4"/>
        <v>#DIV/0!</v>
      </c>
      <c r="M6" s="21" t="e">
        <f t="shared" si="5"/>
        <v>#DIV/0!</v>
      </c>
      <c r="N6" s="44" t="e">
        <f t="shared" si="6"/>
        <v>#DIV/0!</v>
      </c>
      <c r="O6" s="138" t="e">
        <f>AVERAGE(N6:N7)</f>
        <v>#DIV/0!</v>
      </c>
    </row>
    <row r="7" spans="1:15" s="4" customFormat="1" ht="45" customHeight="1">
      <c r="A7" s="134"/>
      <c r="B7" s="9">
        <v>4</v>
      </c>
      <c r="C7" s="28" t="str">
        <f>'５・６年印刷用'!C8</f>
        <v>自分には、よいところがあると思う。</v>
      </c>
      <c r="D7" s="14"/>
      <c r="E7" s="14"/>
      <c r="F7" s="14"/>
      <c r="G7" s="14"/>
      <c r="H7" s="20">
        <f t="shared" si="0"/>
        <v>0</v>
      </c>
      <c r="I7" s="24">
        <f t="shared" si="1"/>
        <v>0</v>
      </c>
      <c r="J7" s="22" t="e">
        <f t="shared" si="2"/>
        <v>#DIV/0!</v>
      </c>
      <c r="K7" s="21" t="e">
        <f t="shared" si="3"/>
        <v>#DIV/0!</v>
      </c>
      <c r="L7" s="21" t="e">
        <f t="shared" si="4"/>
        <v>#DIV/0!</v>
      </c>
      <c r="M7" s="21" t="e">
        <f t="shared" si="5"/>
        <v>#DIV/0!</v>
      </c>
      <c r="N7" s="44" t="e">
        <f t="shared" si="6"/>
        <v>#DIV/0!</v>
      </c>
      <c r="O7" s="144"/>
    </row>
    <row r="8" spans="1:15" s="4" customFormat="1" ht="45" customHeight="1">
      <c r="A8" s="92" t="s">
        <v>58</v>
      </c>
      <c r="B8" s="9">
        <v>5</v>
      </c>
      <c r="C8" s="31" t="str">
        <f>'５・６年印刷用'!C9</f>
        <v>将来の夢や目標をもっている。</v>
      </c>
      <c r="D8" s="14"/>
      <c r="E8" s="14"/>
      <c r="F8" s="14"/>
      <c r="G8" s="14"/>
      <c r="H8" s="20">
        <f t="shared" si="0"/>
        <v>0</v>
      </c>
      <c r="I8" s="24">
        <f t="shared" si="1"/>
        <v>0</v>
      </c>
      <c r="J8" s="22" t="e">
        <f t="shared" si="2"/>
        <v>#DIV/0!</v>
      </c>
      <c r="K8" s="21" t="e">
        <f t="shared" si="3"/>
        <v>#DIV/0!</v>
      </c>
      <c r="L8" s="21" t="e">
        <f t="shared" si="4"/>
        <v>#DIV/0!</v>
      </c>
      <c r="M8" s="21" t="e">
        <f t="shared" si="5"/>
        <v>#DIV/0!</v>
      </c>
      <c r="N8" s="44" t="e">
        <f t="shared" si="6"/>
        <v>#DIV/0!</v>
      </c>
      <c r="O8" s="113" t="e">
        <f>AVERAGE(N8)</f>
        <v>#DIV/0!</v>
      </c>
    </row>
    <row r="9" spans="1:15" s="4" customFormat="1" ht="45" customHeight="1">
      <c r="A9" s="135" t="s">
        <v>59</v>
      </c>
      <c r="B9" s="9">
        <v>6</v>
      </c>
      <c r="C9" s="31" t="str">
        <f>'５・６年印刷用'!C10</f>
        <v>人の気もちが分かる人間になりたいと思う。</v>
      </c>
      <c r="D9" s="14"/>
      <c r="E9" s="14"/>
      <c r="F9" s="14"/>
      <c r="G9" s="14"/>
      <c r="H9" s="20">
        <f t="shared" si="0"/>
        <v>0</v>
      </c>
      <c r="I9" s="24">
        <f t="shared" si="1"/>
        <v>0</v>
      </c>
      <c r="J9" s="22" t="e">
        <f t="shared" si="2"/>
        <v>#DIV/0!</v>
      </c>
      <c r="K9" s="21" t="e">
        <f>E9/ H9</f>
        <v>#DIV/0!</v>
      </c>
      <c r="L9" s="21" t="e">
        <f t="shared" si="4"/>
        <v>#DIV/0!</v>
      </c>
      <c r="M9" s="21" t="e">
        <f t="shared" si="5"/>
        <v>#DIV/0!</v>
      </c>
      <c r="N9" s="44" t="e">
        <f t="shared" si="6"/>
        <v>#DIV/0!</v>
      </c>
      <c r="O9" s="138" t="e">
        <f>AVERAGE(N9:N10)</f>
        <v>#DIV/0!</v>
      </c>
    </row>
    <row r="10" spans="1:15" s="4" customFormat="1" ht="45" customHeight="1">
      <c r="A10" s="136"/>
      <c r="B10" s="9">
        <v>7</v>
      </c>
      <c r="C10" s="28" t="str">
        <f>'５・６年印刷用'!C11</f>
        <v>いじめはどんな理由があっても、いけないことだと思う。</v>
      </c>
      <c r="D10" s="14"/>
      <c r="E10" s="14"/>
      <c r="F10" s="14"/>
      <c r="G10" s="14"/>
      <c r="H10" s="20">
        <f t="shared" si="0"/>
        <v>0</v>
      </c>
      <c r="I10" s="24">
        <f t="shared" si="1"/>
        <v>0</v>
      </c>
      <c r="J10" s="22" t="e">
        <f t="shared" si="2"/>
        <v>#DIV/0!</v>
      </c>
      <c r="K10" s="21" t="e">
        <f t="shared" si="3"/>
        <v>#DIV/0!</v>
      </c>
      <c r="L10" s="21" t="e">
        <f t="shared" si="4"/>
        <v>#DIV/0!</v>
      </c>
      <c r="M10" s="21" t="e">
        <f t="shared" si="5"/>
        <v>#DIV/0!</v>
      </c>
      <c r="N10" s="44" t="e">
        <f t="shared" si="6"/>
        <v>#DIV/0!</v>
      </c>
      <c r="O10" s="140"/>
    </row>
    <row r="11" spans="1:15" s="4" customFormat="1" ht="45" customHeight="1">
      <c r="A11" s="92" t="s">
        <v>60</v>
      </c>
      <c r="B11" s="9">
        <v>8</v>
      </c>
      <c r="C11" s="31" t="str">
        <f>'５・６年印刷用'!C12</f>
        <v>学校のきまりを守っている。</v>
      </c>
      <c r="D11" s="14"/>
      <c r="E11" s="14"/>
      <c r="F11" s="14"/>
      <c r="G11" s="14"/>
      <c r="H11" s="20">
        <f t="shared" si="0"/>
        <v>0</v>
      </c>
      <c r="I11" s="24">
        <f t="shared" si="1"/>
        <v>0</v>
      </c>
      <c r="J11" s="22" t="e">
        <f t="shared" si="2"/>
        <v>#DIV/0!</v>
      </c>
      <c r="K11" s="21" t="e">
        <f t="shared" si="3"/>
        <v>#DIV/0!</v>
      </c>
      <c r="L11" s="21" t="e">
        <f t="shared" si="4"/>
        <v>#DIV/0!</v>
      </c>
      <c r="M11" s="21" t="e">
        <f t="shared" si="5"/>
        <v>#DIV/0!</v>
      </c>
      <c r="N11" s="44" t="e">
        <f t="shared" si="6"/>
        <v>#DIV/0!</v>
      </c>
      <c r="O11" s="114" t="e">
        <f>AVERAGE(N11)</f>
        <v>#DIV/0!</v>
      </c>
    </row>
    <row r="12" spans="1:15" s="4" customFormat="1" ht="45" customHeight="1">
      <c r="A12" s="135" t="s">
        <v>70</v>
      </c>
      <c r="B12" s="9">
        <v>9</v>
      </c>
      <c r="C12" s="28" t="str">
        <f>'５・６年印刷用'!C13</f>
        <v>地域や社会をよくするために何をすべきかを考えることがある。</v>
      </c>
      <c r="D12" s="14"/>
      <c r="E12" s="14"/>
      <c r="F12" s="14"/>
      <c r="G12" s="14"/>
      <c r="H12" s="20">
        <f t="shared" si="0"/>
        <v>0</v>
      </c>
      <c r="I12" s="24">
        <f t="shared" si="1"/>
        <v>0</v>
      </c>
      <c r="J12" s="22" t="e">
        <f t="shared" si="2"/>
        <v>#DIV/0!</v>
      </c>
      <c r="K12" s="21" t="e">
        <f t="shared" si="3"/>
        <v>#DIV/0!</v>
      </c>
      <c r="L12" s="21" t="e">
        <f t="shared" si="4"/>
        <v>#DIV/0!</v>
      </c>
      <c r="M12" s="21" t="e">
        <f t="shared" si="5"/>
        <v>#DIV/0!</v>
      </c>
      <c r="N12" s="44" t="e">
        <f t="shared" si="6"/>
        <v>#DIV/0!</v>
      </c>
      <c r="O12" s="138" t="e">
        <f>AVERAGE(N12:N13)</f>
        <v>#DIV/0!</v>
      </c>
    </row>
    <row r="13" spans="1:15" s="4" customFormat="1" ht="45" customHeight="1" thickBot="1">
      <c r="A13" s="137"/>
      <c r="B13" s="12">
        <v>10</v>
      </c>
      <c r="C13" s="105" t="str">
        <f>'５・６年印刷用'!C14</f>
        <v>高知県がすきだ。</v>
      </c>
      <c r="D13" s="106"/>
      <c r="E13" s="106"/>
      <c r="F13" s="106"/>
      <c r="G13" s="106"/>
      <c r="H13" s="100">
        <f t="shared" si="0"/>
        <v>0</v>
      </c>
      <c r="I13" s="101">
        <f t="shared" si="1"/>
        <v>0</v>
      </c>
      <c r="J13" s="102" t="e">
        <f t="shared" si="2"/>
        <v>#DIV/0!</v>
      </c>
      <c r="K13" s="103" t="e">
        <f t="shared" si="3"/>
        <v>#DIV/0!</v>
      </c>
      <c r="L13" s="103" t="e">
        <f t="shared" si="4"/>
        <v>#DIV/0!</v>
      </c>
      <c r="M13" s="103" t="e">
        <f t="shared" si="5"/>
        <v>#DIV/0!</v>
      </c>
      <c r="N13" s="104" t="e">
        <f t="shared" si="6"/>
        <v>#DIV/0!</v>
      </c>
      <c r="O13" s="139"/>
    </row>
    <row r="14" spans="1:15" ht="22.5" customHeight="1">
      <c r="A14" s="124"/>
      <c r="B14" s="125"/>
      <c r="C14" s="125"/>
      <c r="D14" s="125"/>
      <c r="E14" s="125"/>
      <c r="F14" s="125"/>
      <c r="G14" s="125"/>
    </row>
    <row r="17" ht="24" customHeight="1"/>
    <row r="18" ht="24" customHeight="1"/>
  </sheetData>
  <sheetProtection formatCells="0"/>
  <mergeCells count="16">
    <mergeCell ref="A14:G14"/>
    <mergeCell ref="A4:A5"/>
    <mergeCell ref="A6:A7"/>
    <mergeCell ref="A9:A10"/>
    <mergeCell ref="A12:A13"/>
    <mergeCell ref="O4:O5"/>
    <mergeCell ref="O6:O7"/>
    <mergeCell ref="O9:O10"/>
    <mergeCell ref="O12:O13"/>
    <mergeCell ref="A1:C1"/>
    <mergeCell ref="J1:O1"/>
    <mergeCell ref="A2:A3"/>
    <mergeCell ref="B2:B3"/>
    <mergeCell ref="C2:C3"/>
    <mergeCell ref="D2:I2"/>
    <mergeCell ref="J2:O2"/>
  </mergeCells>
  <phoneticPr fontId="2"/>
  <conditionalFormatting sqref="H1 D4:G13">
    <cfRule type="containsBlanks" dxfId="5" priority="1" stopIfTrue="1">
      <formula>LEN(TRIM(D1))=0</formula>
    </cfRule>
  </conditionalFormatting>
  <pageMargins left="0.39370078740157483" right="0.39370078740157483" top="0.39370078740157483" bottom="0.39370078740157483" header="0.51181102362204722" footer="0.51181102362204722"/>
  <pageSetup paperSize="9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8"/>
  </sheetPr>
  <dimension ref="A1:O18"/>
  <sheetViews>
    <sheetView showGridLines="0" tabSelected="1" view="pageBreakPreview" zoomScaleNormal="100" zoomScaleSheetLayoutView="100" workbookViewId="0">
      <selection activeCell="E6" sqref="E6"/>
    </sheetView>
  </sheetViews>
  <sheetFormatPr defaultColWidth="9" defaultRowHeight="13.2"/>
  <cols>
    <col min="1" max="1" width="5" style="18" customWidth="1"/>
    <col min="2" max="2" width="3.109375" style="18" customWidth="1"/>
    <col min="3" max="3" width="52.33203125" style="18" customWidth="1"/>
    <col min="4" max="14" width="6.77734375" style="18" customWidth="1"/>
    <col min="15" max="15" width="6.77734375" style="23" customWidth="1"/>
    <col min="16" max="16384" width="9" style="18"/>
  </cols>
  <sheetData>
    <row r="1" spans="1:15" s="30" customFormat="1" ht="20.25" customHeight="1" thickBot="1">
      <c r="A1" s="126" t="str">
        <f>'５・６年印刷用'!A1</f>
        <v>道徳意識調査　（小学校５・６年生用）</v>
      </c>
      <c r="B1" s="126"/>
      <c r="C1" s="126"/>
      <c r="D1" s="29"/>
      <c r="E1" s="48"/>
      <c r="F1" s="48"/>
      <c r="G1" s="47" t="s">
        <v>16</v>
      </c>
      <c r="H1" s="79"/>
      <c r="I1" s="68" t="s">
        <v>17</v>
      </c>
      <c r="J1" s="129" t="s">
        <v>10</v>
      </c>
      <c r="K1" s="130"/>
      <c r="L1" s="130"/>
      <c r="M1" s="130"/>
      <c r="N1" s="130"/>
      <c r="O1" s="130"/>
    </row>
    <row r="2" spans="1:15" s="15" customFormat="1" ht="20.25" customHeight="1">
      <c r="A2" s="141"/>
      <c r="B2" s="127" t="s">
        <v>34</v>
      </c>
      <c r="C2" s="127" t="str">
        <f>IF('５・６年印刷用'!C4="","",'５・６年印刷用'!C4)</f>
        <v>質　問　項　目</v>
      </c>
      <c r="D2" s="148" t="s">
        <v>31</v>
      </c>
      <c r="E2" s="148"/>
      <c r="F2" s="148"/>
      <c r="G2" s="148"/>
      <c r="H2" s="148"/>
      <c r="I2" s="149"/>
      <c r="J2" s="145" t="s">
        <v>8</v>
      </c>
      <c r="K2" s="146"/>
      <c r="L2" s="146"/>
      <c r="M2" s="146"/>
      <c r="N2" s="146"/>
      <c r="O2" s="147"/>
    </row>
    <row r="3" spans="1:15" s="4" customFormat="1" ht="97.5" customHeight="1" thickBot="1">
      <c r="A3" s="142"/>
      <c r="B3" s="128"/>
      <c r="C3" s="128"/>
      <c r="D3" s="36" t="s">
        <v>2</v>
      </c>
      <c r="E3" s="36" t="s">
        <v>3</v>
      </c>
      <c r="F3" s="36" t="s">
        <v>4</v>
      </c>
      <c r="G3" s="36" t="s">
        <v>5</v>
      </c>
      <c r="H3" s="37" t="s">
        <v>6</v>
      </c>
      <c r="I3" s="38" t="s">
        <v>7</v>
      </c>
      <c r="J3" s="39" t="s">
        <v>2</v>
      </c>
      <c r="K3" s="36" t="s">
        <v>3</v>
      </c>
      <c r="L3" s="36" t="s">
        <v>4</v>
      </c>
      <c r="M3" s="36" t="s">
        <v>5</v>
      </c>
      <c r="N3" s="42" t="s">
        <v>7</v>
      </c>
      <c r="O3" s="45" t="s">
        <v>30</v>
      </c>
    </row>
    <row r="4" spans="1:15" s="4" customFormat="1" ht="45" customHeight="1" thickTop="1">
      <c r="A4" s="150" t="s">
        <v>71</v>
      </c>
      <c r="B4" s="10">
        <v>1</v>
      </c>
      <c r="C4" s="31" t="str">
        <f>'５・６年印刷用'!C5</f>
        <v>道徳の勉強は、すきだ。</v>
      </c>
      <c r="D4" s="13"/>
      <c r="E4" s="14"/>
      <c r="F4" s="14"/>
      <c r="G4" s="14"/>
      <c r="H4" s="32">
        <f>SUM(D4:G4)</f>
        <v>0</v>
      </c>
      <c r="I4" s="33">
        <f>SUM(D4:E4)</f>
        <v>0</v>
      </c>
      <c r="J4" s="34" t="e">
        <f>D4/H4</f>
        <v>#DIV/0!</v>
      </c>
      <c r="K4" s="35" t="e">
        <f>E4/ H4</f>
        <v>#DIV/0!</v>
      </c>
      <c r="L4" s="35" t="e">
        <f>F4/H4</f>
        <v>#DIV/0!</v>
      </c>
      <c r="M4" s="35" t="e">
        <f>G4/H4</f>
        <v>#DIV/0!</v>
      </c>
      <c r="N4" s="43" t="e">
        <f>I4/H4</f>
        <v>#DIV/0!</v>
      </c>
      <c r="O4" s="151" t="e">
        <f>AVERAGE(N4:N5)</f>
        <v>#DIV/0!</v>
      </c>
    </row>
    <row r="5" spans="1:15" s="4" customFormat="1" ht="45" customHeight="1">
      <c r="A5" s="132"/>
      <c r="B5" s="9">
        <v>2</v>
      </c>
      <c r="C5" s="11" t="str">
        <f>'５・６年印刷用'!C6</f>
        <v>道徳の授業では、自分の考えを伝えたり、ほかの人の考えを聞いたりしながら、自分のこと（生き方）についてよく考えている。</v>
      </c>
      <c r="D5" s="14"/>
      <c r="E5" s="14"/>
      <c r="F5" s="14"/>
      <c r="G5" s="14"/>
      <c r="H5" s="20">
        <f t="shared" ref="H5:H13" si="0">SUM(D5:G5)</f>
        <v>0</v>
      </c>
      <c r="I5" s="24">
        <f t="shared" ref="I5:I13" si="1">SUM(D5:E5)</f>
        <v>0</v>
      </c>
      <c r="J5" s="22" t="e">
        <f t="shared" ref="J5:J13" si="2">D5/H5</f>
        <v>#DIV/0!</v>
      </c>
      <c r="K5" s="21" t="e">
        <f t="shared" ref="K5:K13" si="3">E5/ H5</f>
        <v>#DIV/0!</v>
      </c>
      <c r="L5" s="21" t="e">
        <f t="shared" ref="L5:L13" si="4">F5/H5</f>
        <v>#DIV/0!</v>
      </c>
      <c r="M5" s="21" t="e">
        <f t="shared" ref="M5:M13" si="5">G5/H5</f>
        <v>#DIV/0!</v>
      </c>
      <c r="N5" s="44" t="e">
        <f t="shared" ref="N5:N13" si="6">I5/H5</f>
        <v>#DIV/0!</v>
      </c>
      <c r="O5" s="144"/>
    </row>
    <row r="6" spans="1:15" s="4" customFormat="1" ht="45" customHeight="1">
      <c r="A6" s="133" t="s">
        <v>0</v>
      </c>
      <c r="B6" s="9">
        <v>3</v>
      </c>
      <c r="C6" s="31" t="str">
        <f>'５・６年印刷用'!C7</f>
        <v>ものごとを最後までやりとげて、うれしかったことがある。</v>
      </c>
      <c r="D6" s="14"/>
      <c r="E6" s="14"/>
      <c r="F6" s="14"/>
      <c r="G6" s="14"/>
      <c r="H6" s="20">
        <f t="shared" si="0"/>
        <v>0</v>
      </c>
      <c r="I6" s="24">
        <f t="shared" si="1"/>
        <v>0</v>
      </c>
      <c r="J6" s="22" t="e">
        <f t="shared" si="2"/>
        <v>#DIV/0!</v>
      </c>
      <c r="K6" s="21" t="e">
        <f t="shared" si="3"/>
        <v>#DIV/0!</v>
      </c>
      <c r="L6" s="21" t="e">
        <f t="shared" si="4"/>
        <v>#DIV/0!</v>
      </c>
      <c r="M6" s="21" t="e">
        <f t="shared" si="5"/>
        <v>#DIV/0!</v>
      </c>
      <c r="N6" s="44" t="e">
        <f t="shared" si="6"/>
        <v>#DIV/0!</v>
      </c>
      <c r="O6" s="138" t="e">
        <f>AVERAGE(N6:N7)</f>
        <v>#DIV/0!</v>
      </c>
    </row>
    <row r="7" spans="1:15" s="4" customFormat="1" ht="45" customHeight="1">
      <c r="A7" s="134"/>
      <c r="B7" s="9">
        <v>4</v>
      </c>
      <c r="C7" s="28" t="str">
        <f>'５・６年印刷用'!C8</f>
        <v>自分には、よいところがあると思う。</v>
      </c>
      <c r="D7" s="14"/>
      <c r="E7" s="14"/>
      <c r="F7" s="14"/>
      <c r="G7" s="14"/>
      <c r="H7" s="20">
        <f t="shared" si="0"/>
        <v>0</v>
      </c>
      <c r="I7" s="24">
        <f t="shared" si="1"/>
        <v>0</v>
      </c>
      <c r="J7" s="22" t="e">
        <f t="shared" si="2"/>
        <v>#DIV/0!</v>
      </c>
      <c r="K7" s="21" t="e">
        <f t="shared" si="3"/>
        <v>#DIV/0!</v>
      </c>
      <c r="L7" s="21" t="e">
        <f t="shared" si="4"/>
        <v>#DIV/0!</v>
      </c>
      <c r="M7" s="21" t="e">
        <f t="shared" si="5"/>
        <v>#DIV/0!</v>
      </c>
      <c r="N7" s="44" t="e">
        <f t="shared" si="6"/>
        <v>#DIV/0!</v>
      </c>
      <c r="O7" s="144"/>
    </row>
    <row r="8" spans="1:15" s="4" customFormat="1" ht="45" customHeight="1">
      <c r="A8" s="92" t="s">
        <v>58</v>
      </c>
      <c r="B8" s="9">
        <v>5</v>
      </c>
      <c r="C8" s="31" t="str">
        <f>'５・６年印刷用'!C9</f>
        <v>将来の夢や目標をもっている。</v>
      </c>
      <c r="D8" s="14"/>
      <c r="E8" s="14"/>
      <c r="F8" s="14"/>
      <c r="G8" s="14"/>
      <c r="H8" s="20">
        <f t="shared" si="0"/>
        <v>0</v>
      </c>
      <c r="I8" s="24">
        <f t="shared" si="1"/>
        <v>0</v>
      </c>
      <c r="J8" s="22" t="e">
        <f t="shared" si="2"/>
        <v>#DIV/0!</v>
      </c>
      <c r="K8" s="21" t="e">
        <f t="shared" si="3"/>
        <v>#DIV/0!</v>
      </c>
      <c r="L8" s="21" t="e">
        <f t="shared" si="4"/>
        <v>#DIV/0!</v>
      </c>
      <c r="M8" s="21" t="e">
        <f t="shared" si="5"/>
        <v>#DIV/0!</v>
      </c>
      <c r="N8" s="44" t="e">
        <f t="shared" si="6"/>
        <v>#DIV/0!</v>
      </c>
      <c r="O8" s="113" t="e">
        <f>AVERAGE(N8)</f>
        <v>#DIV/0!</v>
      </c>
    </row>
    <row r="9" spans="1:15" s="4" customFormat="1" ht="45" customHeight="1">
      <c r="A9" s="135" t="s">
        <v>59</v>
      </c>
      <c r="B9" s="9">
        <v>6</v>
      </c>
      <c r="C9" s="31" t="str">
        <f>'５・６年印刷用'!C10</f>
        <v>人の気もちが分かる人間になりたいと思う。</v>
      </c>
      <c r="D9" s="14"/>
      <c r="E9" s="14"/>
      <c r="F9" s="14"/>
      <c r="G9" s="14"/>
      <c r="H9" s="20">
        <f t="shared" si="0"/>
        <v>0</v>
      </c>
      <c r="I9" s="24">
        <f t="shared" si="1"/>
        <v>0</v>
      </c>
      <c r="J9" s="22" t="e">
        <f t="shared" si="2"/>
        <v>#DIV/0!</v>
      </c>
      <c r="K9" s="21" t="e">
        <f>E9/ H9</f>
        <v>#DIV/0!</v>
      </c>
      <c r="L9" s="21" t="e">
        <f t="shared" si="4"/>
        <v>#DIV/0!</v>
      </c>
      <c r="M9" s="21" t="e">
        <f t="shared" si="5"/>
        <v>#DIV/0!</v>
      </c>
      <c r="N9" s="44" t="e">
        <f t="shared" si="6"/>
        <v>#DIV/0!</v>
      </c>
      <c r="O9" s="138" t="e">
        <f>AVERAGE(N9:N10)</f>
        <v>#DIV/0!</v>
      </c>
    </row>
    <row r="10" spans="1:15" s="4" customFormat="1" ht="45" customHeight="1">
      <c r="A10" s="136"/>
      <c r="B10" s="9">
        <v>7</v>
      </c>
      <c r="C10" s="28" t="str">
        <f>'５・６年印刷用'!C11</f>
        <v>いじめはどんな理由があっても、いけないことだと思う。</v>
      </c>
      <c r="D10" s="14"/>
      <c r="E10" s="14"/>
      <c r="F10" s="14"/>
      <c r="G10" s="14"/>
      <c r="H10" s="20">
        <f t="shared" si="0"/>
        <v>0</v>
      </c>
      <c r="I10" s="24">
        <f t="shared" si="1"/>
        <v>0</v>
      </c>
      <c r="J10" s="22" t="e">
        <f t="shared" si="2"/>
        <v>#DIV/0!</v>
      </c>
      <c r="K10" s="21" t="e">
        <f t="shared" si="3"/>
        <v>#DIV/0!</v>
      </c>
      <c r="L10" s="21" t="e">
        <f t="shared" si="4"/>
        <v>#DIV/0!</v>
      </c>
      <c r="M10" s="21" t="e">
        <f t="shared" si="5"/>
        <v>#DIV/0!</v>
      </c>
      <c r="N10" s="44" t="e">
        <f t="shared" si="6"/>
        <v>#DIV/0!</v>
      </c>
      <c r="O10" s="140"/>
    </row>
    <row r="11" spans="1:15" s="4" customFormat="1" ht="45" customHeight="1">
      <c r="A11" s="92" t="s">
        <v>60</v>
      </c>
      <c r="B11" s="9">
        <v>8</v>
      </c>
      <c r="C11" s="31" t="str">
        <f>'５・６年印刷用'!C12</f>
        <v>学校のきまりを守っている。</v>
      </c>
      <c r="D11" s="14"/>
      <c r="E11" s="14"/>
      <c r="F11" s="14"/>
      <c r="G11" s="14"/>
      <c r="H11" s="20">
        <f t="shared" si="0"/>
        <v>0</v>
      </c>
      <c r="I11" s="24">
        <f t="shared" si="1"/>
        <v>0</v>
      </c>
      <c r="J11" s="22" t="e">
        <f t="shared" si="2"/>
        <v>#DIV/0!</v>
      </c>
      <c r="K11" s="21" t="e">
        <f t="shared" si="3"/>
        <v>#DIV/0!</v>
      </c>
      <c r="L11" s="21" t="e">
        <f t="shared" si="4"/>
        <v>#DIV/0!</v>
      </c>
      <c r="M11" s="21" t="e">
        <f t="shared" si="5"/>
        <v>#DIV/0!</v>
      </c>
      <c r="N11" s="44" t="e">
        <f t="shared" si="6"/>
        <v>#DIV/0!</v>
      </c>
      <c r="O11" s="114" t="e">
        <f>AVERAGE(N11)</f>
        <v>#DIV/0!</v>
      </c>
    </row>
    <row r="12" spans="1:15" s="4" customFormat="1" ht="45" customHeight="1">
      <c r="A12" s="135" t="s">
        <v>70</v>
      </c>
      <c r="B12" s="9">
        <v>9</v>
      </c>
      <c r="C12" s="28" t="str">
        <f>'５・６年印刷用'!C13</f>
        <v>地域や社会をよくするために何をすべきかを考えることがある。</v>
      </c>
      <c r="D12" s="14"/>
      <c r="E12" s="14"/>
      <c r="F12" s="14"/>
      <c r="G12" s="14"/>
      <c r="H12" s="20">
        <f t="shared" si="0"/>
        <v>0</v>
      </c>
      <c r="I12" s="24">
        <f t="shared" si="1"/>
        <v>0</v>
      </c>
      <c r="J12" s="22" t="e">
        <f t="shared" si="2"/>
        <v>#DIV/0!</v>
      </c>
      <c r="K12" s="21" t="e">
        <f t="shared" si="3"/>
        <v>#DIV/0!</v>
      </c>
      <c r="L12" s="21" t="e">
        <f t="shared" si="4"/>
        <v>#DIV/0!</v>
      </c>
      <c r="M12" s="21" t="e">
        <f t="shared" si="5"/>
        <v>#DIV/0!</v>
      </c>
      <c r="N12" s="44" t="e">
        <f t="shared" si="6"/>
        <v>#DIV/0!</v>
      </c>
      <c r="O12" s="138" t="e">
        <f>AVERAGE(N12:N13)</f>
        <v>#DIV/0!</v>
      </c>
    </row>
    <row r="13" spans="1:15" s="4" customFormat="1" ht="45" customHeight="1" thickBot="1">
      <c r="A13" s="137"/>
      <c r="B13" s="12">
        <v>10</v>
      </c>
      <c r="C13" s="105" t="str">
        <f>'５・６年印刷用'!C14</f>
        <v>高知県がすきだ。</v>
      </c>
      <c r="D13" s="106"/>
      <c r="E13" s="106"/>
      <c r="F13" s="106"/>
      <c r="G13" s="106"/>
      <c r="H13" s="100">
        <f t="shared" si="0"/>
        <v>0</v>
      </c>
      <c r="I13" s="101">
        <f t="shared" si="1"/>
        <v>0</v>
      </c>
      <c r="J13" s="102" t="e">
        <f t="shared" si="2"/>
        <v>#DIV/0!</v>
      </c>
      <c r="K13" s="103" t="e">
        <f t="shared" si="3"/>
        <v>#DIV/0!</v>
      </c>
      <c r="L13" s="103" t="e">
        <f t="shared" si="4"/>
        <v>#DIV/0!</v>
      </c>
      <c r="M13" s="103" t="e">
        <f t="shared" si="5"/>
        <v>#DIV/0!</v>
      </c>
      <c r="N13" s="104" t="e">
        <f t="shared" si="6"/>
        <v>#DIV/0!</v>
      </c>
      <c r="O13" s="139"/>
    </row>
    <row r="14" spans="1:15" ht="22.5" customHeight="1">
      <c r="A14" s="124"/>
      <c r="B14" s="125"/>
      <c r="C14" s="125"/>
      <c r="D14" s="125"/>
      <c r="E14" s="125"/>
      <c r="F14" s="125"/>
      <c r="G14" s="125"/>
    </row>
    <row r="17" ht="24" customHeight="1"/>
    <row r="18" ht="24" customHeight="1"/>
  </sheetData>
  <sheetProtection formatCells="0"/>
  <mergeCells count="16">
    <mergeCell ref="A14:G14"/>
    <mergeCell ref="A4:A5"/>
    <mergeCell ref="A6:A7"/>
    <mergeCell ref="A9:A10"/>
    <mergeCell ref="A12:A13"/>
    <mergeCell ref="O4:O5"/>
    <mergeCell ref="O6:O7"/>
    <mergeCell ref="O9:O10"/>
    <mergeCell ref="O12:O13"/>
    <mergeCell ref="A1:C1"/>
    <mergeCell ref="J1:O1"/>
    <mergeCell ref="A2:A3"/>
    <mergeCell ref="B2:B3"/>
    <mergeCell ref="C2:C3"/>
    <mergeCell ref="D2:I2"/>
    <mergeCell ref="J2:O2"/>
  </mergeCells>
  <phoneticPr fontId="2"/>
  <conditionalFormatting sqref="H1 D4:G13">
    <cfRule type="containsBlanks" dxfId="4" priority="1" stopIfTrue="1">
      <formula>LEN(TRIM(D1))=0</formula>
    </cfRule>
  </conditionalFormatting>
  <pageMargins left="0.39370078740157483" right="0.39370078740157483" top="0.39370078740157483" bottom="0.39370078740157483" header="0.51181102362204722" footer="0.51181102362204722"/>
  <pageSetup paperSize="9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/>
  </sheetPr>
  <dimension ref="A1:M38"/>
  <sheetViews>
    <sheetView view="pageBreakPreview" topLeftCell="A7" zoomScaleNormal="100" zoomScaleSheetLayoutView="100" workbookViewId="0">
      <selection activeCell="A7" sqref="A1:XFD1048576"/>
    </sheetView>
  </sheetViews>
  <sheetFormatPr defaultRowHeight="13.2"/>
  <cols>
    <col min="1" max="1" width="6.44140625" customWidth="1"/>
    <col min="2" max="11" width="8.6640625" customWidth="1"/>
    <col min="12" max="12" width="5.109375" customWidth="1"/>
  </cols>
  <sheetData>
    <row r="1" spans="1:13" ht="26.4" thickBot="1">
      <c r="A1" s="155" t="s">
        <v>39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</row>
    <row r="2" spans="1:13" ht="30" customHeight="1" thickBot="1">
      <c r="A2" s="159" t="s">
        <v>11</v>
      </c>
      <c r="B2" s="160"/>
      <c r="C2" s="160"/>
      <c r="D2" s="160"/>
      <c r="E2" s="160"/>
      <c r="F2" s="160"/>
      <c r="G2" s="165"/>
      <c r="H2" s="166"/>
      <c r="I2" s="166"/>
      <c r="J2" s="166"/>
      <c r="K2" s="167"/>
    </row>
    <row r="3" spans="1:13" ht="19.5" customHeight="1" thickTop="1">
      <c r="A3" s="172" t="s">
        <v>15</v>
      </c>
      <c r="B3" s="173"/>
      <c r="C3" s="174"/>
      <c r="D3" s="161" t="s">
        <v>9</v>
      </c>
      <c r="E3" s="168"/>
      <c r="F3" s="169"/>
      <c r="G3" s="161">
        <f>'５・６年　１回目'!H1</f>
        <v>0</v>
      </c>
      <c r="H3" s="162"/>
      <c r="I3" s="162"/>
      <c r="J3" s="162"/>
      <c r="K3" s="90" t="s">
        <v>17</v>
      </c>
    </row>
    <row r="4" spans="1:13" ht="19.5" customHeight="1" thickBot="1">
      <c r="A4" s="175"/>
      <c r="B4" s="176"/>
      <c r="C4" s="177"/>
      <c r="D4" s="163" t="s">
        <v>12</v>
      </c>
      <c r="E4" s="170"/>
      <c r="F4" s="171"/>
      <c r="G4" s="163">
        <f>'５・６年　２回目'!H1</f>
        <v>0</v>
      </c>
      <c r="H4" s="164"/>
      <c r="I4" s="164"/>
      <c r="J4" s="164"/>
      <c r="K4" s="91" t="s">
        <v>17</v>
      </c>
    </row>
    <row r="5" spans="1:13" ht="26.25" customHeight="1" thickBot="1">
      <c r="A5" s="156" t="s">
        <v>18</v>
      </c>
      <c r="B5" s="157"/>
      <c r="C5" s="157"/>
      <c r="D5" s="157"/>
      <c r="E5" s="157"/>
      <c r="F5" s="157"/>
      <c r="G5" s="157"/>
      <c r="H5" s="157"/>
      <c r="I5" s="157"/>
      <c r="J5" s="157"/>
      <c r="K5" s="158"/>
    </row>
    <row r="6" spans="1:13" ht="43.5" customHeight="1" thickBot="1">
      <c r="A6" s="41"/>
      <c r="B6" s="51">
        <v>1</v>
      </c>
      <c r="C6" s="52">
        <v>2</v>
      </c>
      <c r="D6" s="52">
        <v>3</v>
      </c>
      <c r="E6" s="52">
        <v>4</v>
      </c>
      <c r="F6" s="61">
        <v>5</v>
      </c>
      <c r="G6" s="52">
        <v>6</v>
      </c>
      <c r="H6" s="52">
        <v>7</v>
      </c>
      <c r="I6" s="52">
        <v>8</v>
      </c>
      <c r="J6" s="52">
        <v>9</v>
      </c>
      <c r="K6" s="107">
        <v>10</v>
      </c>
    </row>
    <row r="7" spans="1:13" ht="43.5" customHeight="1" thickTop="1">
      <c r="A7" s="66" t="s">
        <v>21</v>
      </c>
      <c r="B7" s="62" t="e">
        <f>'５・６年　１回目'!N4</f>
        <v>#DIV/0!</v>
      </c>
      <c r="C7" s="63" t="e">
        <f>'５・６年　１回目'!N5</f>
        <v>#DIV/0!</v>
      </c>
      <c r="D7" s="63" t="e">
        <f>'５・６年　１回目'!N6</f>
        <v>#DIV/0!</v>
      </c>
      <c r="E7" s="63" t="e">
        <f>'５・６年　１回目'!N7</f>
        <v>#DIV/0!</v>
      </c>
      <c r="F7" s="63" t="e">
        <f>'５・６年　１回目'!N8</f>
        <v>#DIV/0!</v>
      </c>
      <c r="G7" s="65" t="e">
        <f>'５・６年　１回目'!N9</f>
        <v>#DIV/0!</v>
      </c>
      <c r="H7" s="65" t="e">
        <f>'５・６年　１回目'!N10</f>
        <v>#DIV/0!</v>
      </c>
      <c r="I7" s="65" t="e">
        <f>'５・６年　１回目'!N11</f>
        <v>#DIV/0!</v>
      </c>
      <c r="J7" s="65" t="e">
        <f>'５・６年　１回目'!N12</f>
        <v>#DIV/0!</v>
      </c>
      <c r="K7" s="108" t="e">
        <f>'５・６年　１回目'!N13</f>
        <v>#DIV/0!</v>
      </c>
    </row>
    <row r="8" spans="1:13" ht="43.5" customHeight="1" thickBot="1">
      <c r="A8" s="67" t="s">
        <v>22</v>
      </c>
      <c r="B8" s="49" t="e">
        <f>'５・６年　２回目'!N4</f>
        <v>#DIV/0!</v>
      </c>
      <c r="C8" s="50" t="e">
        <f>'５・６年　２回目'!N5</f>
        <v>#DIV/0!</v>
      </c>
      <c r="D8" s="50" t="e">
        <f>'５・６年　２回目'!N6</f>
        <v>#DIV/0!</v>
      </c>
      <c r="E8" s="50" t="e">
        <f>'５・６年　２回目'!N7</f>
        <v>#DIV/0!</v>
      </c>
      <c r="F8" s="50" t="e">
        <f>'５・６年　２回目'!N8</f>
        <v>#DIV/0!</v>
      </c>
      <c r="G8" s="64" t="e">
        <f>'５・６年　２回目'!N9</f>
        <v>#DIV/0!</v>
      </c>
      <c r="H8" s="64" t="e">
        <f>'５・６年　２回目'!N10</f>
        <v>#DIV/0!</v>
      </c>
      <c r="I8" s="64" t="e">
        <f>'５・６年　２回目'!N11</f>
        <v>#DIV/0!</v>
      </c>
      <c r="J8" s="64" t="e">
        <f>'５・６年　２回目'!N12</f>
        <v>#DIV/0!</v>
      </c>
      <c r="K8" s="109" t="e">
        <f>'５・６年　２回目'!N13</f>
        <v>#DIV/0!</v>
      </c>
    </row>
    <row r="9" spans="1:13">
      <c r="L9">
        <f>'５・６年印刷用'!B5</f>
        <v>1</v>
      </c>
      <c r="M9" t="str">
        <f>'５・６年印刷用'!C5</f>
        <v>道徳の勉強は、すきだ。</v>
      </c>
    </row>
    <row r="10" spans="1:13">
      <c r="L10">
        <f>'５・６年印刷用'!B6</f>
        <v>2</v>
      </c>
      <c r="M10" t="str">
        <f>'５・６年印刷用'!C6</f>
        <v>道徳の授業では、自分の考えを伝えたり、ほかの人の考えを聞いたりしながら、自分のこと（生き方）についてよく考えている。</v>
      </c>
    </row>
    <row r="11" spans="1:13">
      <c r="L11">
        <f>'５・６年印刷用'!B7</f>
        <v>3</v>
      </c>
      <c r="M11" t="str">
        <f>'５・６年印刷用'!C7</f>
        <v>ものごとを最後までやりとげて、うれしかったことがある。</v>
      </c>
    </row>
    <row r="12" spans="1:13">
      <c r="L12">
        <f>'５・６年印刷用'!B8</f>
        <v>4</v>
      </c>
      <c r="M12" t="str">
        <f>'５・６年印刷用'!C8</f>
        <v>自分には、よいところがあると思う。</v>
      </c>
    </row>
    <row r="13" spans="1:13">
      <c r="L13">
        <f>'５・６年印刷用'!B9</f>
        <v>5</v>
      </c>
      <c r="M13" t="str">
        <f>'５・６年印刷用'!C9</f>
        <v>将来の夢や目標をもっている。</v>
      </c>
    </row>
    <row r="14" spans="1:13">
      <c r="L14">
        <f>'５・６年印刷用'!B10</f>
        <v>6</v>
      </c>
      <c r="M14" t="str">
        <f>'５・６年印刷用'!C10</f>
        <v>人の気もちが分かる人間になりたいと思う。</v>
      </c>
    </row>
    <row r="15" spans="1:13">
      <c r="L15">
        <f>'５・６年印刷用'!B11</f>
        <v>7</v>
      </c>
      <c r="M15" t="str">
        <f>'５・６年印刷用'!C11</f>
        <v>いじめはどんな理由があっても、いけないことだと思う。</v>
      </c>
    </row>
    <row r="16" spans="1:13">
      <c r="L16">
        <f>'５・６年印刷用'!B12</f>
        <v>8</v>
      </c>
      <c r="M16" t="str">
        <f>'５・６年印刷用'!C12</f>
        <v>学校のきまりを守っている。</v>
      </c>
    </row>
    <row r="17" spans="12:13">
      <c r="L17">
        <f>'５・６年印刷用'!B13</f>
        <v>9</v>
      </c>
      <c r="M17" t="str">
        <f>'５・６年印刷用'!C13</f>
        <v>地域や社会をよくするために何をすべきかを考えることがある。</v>
      </c>
    </row>
    <row r="18" spans="12:13">
      <c r="L18">
        <f>'５・６年印刷用'!B14</f>
        <v>10</v>
      </c>
      <c r="M18" t="str">
        <f>'５・６年印刷用'!C14</f>
        <v>高知県がすきだ。</v>
      </c>
    </row>
    <row r="35" spans="1:11" ht="13.8" thickBot="1">
      <c r="A35" t="s">
        <v>13</v>
      </c>
    </row>
    <row r="36" spans="1:11" ht="88.5" customHeight="1" thickBot="1">
      <c r="A36" s="152"/>
      <c r="B36" s="153"/>
      <c r="C36" s="153"/>
      <c r="D36" s="153"/>
      <c r="E36" s="153"/>
      <c r="F36" s="153"/>
      <c r="G36" s="153"/>
      <c r="H36" s="153"/>
      <c r="I36" s="153"/>
      <c r="J36" s="153"/>
      <c r="K36" s="154"/>
    </row>
    <row r="37" spans="1:11" ht="13.8" thickBot="1">
      <c r="A37" t="s">
        <v>14</v>
      </c>
      <c r="C37" s="19"/>
      <c r="D37" s="19"/>
      <c r="E37" s="19"/>
      <c r="F37" s="19"/>
    </row>
    <row r="38" spans="1:11" ht="88.5" customHeight="1" thickBot="1">
      <c r="A38" s="152"/>
      <c r="B38" s="153"/>
      <c r="C38" s="153"/>
      <c r="D38" s="153"/>
      <c r="E38" s="153"/>
      <c r="F38" s="153"/>
      <c r="G38" s="153"/>
      <c r="H38" s="153"/>
      <c r="I38" s="153"/>
      <c r="J38" s="153"/>
      <c r="K38" s="154"/>
    </row>
  </sheetData>
  <sheetProtection sheet="1" formatCells="0" formatColumns="0" formatRows="0" insertColumns="0" insertRows="0"/>
  <mergeCells count="11">
    <mergeCell ref="A38:K38"/>
    <mergeCell ref="A1:K1"/>
    <mergeCell ref="A2:F2"/>
    <mergeCell ref="G2:K2"/>
    <mergeCell ref="A3:C4"/>
    <mergeCell ref="D3:F3"/>
    <mergeCell ref="G3:J3"/>
    <mergeCell ref="G4:J4"/>
    <mergeCell ref="D4:F4"/>
    <mergeCell ref="A5:K5"/>
    <mergeCell ref="A36:K36"/>
  </mergeCells>
  <phoneticPr fontId="2"/>
  <conditionalFormatting sqref="G2:K2 A36:K36 A38:K38">
    <cfRule type="containsBlanks" dxfId="3" priority="1" stopIfTrue="1">
      <formula>LEN(TRIM(A2))=0</formula>
    </cfRule>
  </conditionalFormatting>
  <pageMargins left="0.51181102362204722" right="0.51181102362204722" top="0.74803149606299213" bottom="0.74803149606299213" header="0.31496062992125984" footer="0.31496062992125984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/>
  </sheetPr>
  <dimension ref="A1:O18"/>
  <sheetViews>
    <sheetView showGridLines="0" zoomScaleNormal="100" zoomScaleSheetLayoutView="100" workbookViewId="0">
      <selection activeCell="V13" sqref="V13"/>
    </sheetView>
  </sheetViews>
  <sheetFormatPr defaultColWidth="9" defaultRowHeight="13.2"/>
  <cols>
    <col min="1" max="1" width="5" style="18" customWidth="1"/>
    <col min="2" max="2" width="3.109375" style="18" customWidth="1"/>
    <col min="3" max="3" width="52.33203125" style="18" customWidth="1"/>
    <col min="4" max="14" width="6.77734375" style="18" customWidth="1"/>
    <col min="15" max="15" width="6.77734375" style="23" customWidth="1"/>
    <col min="16" max="16384" width="9" style="18"/>
  </cols>
  <sheetData>
    <row r="1" spans="1:15" s="30" customFormat="1" ht="20.25" customHeight="1" thickBot="1">
      <c r="A1" s="178" t="s">
        <v>40</v>
      </c>
      <c r="B1" s="178"/>
      <c r="C1" s="178"/>
      <c r="D1" s="29"/>
      <c r="E1" s="48"/>
      <c r="F1" s="48"/>
      <c r="G1" s="73" t="s">
        <v>16</v>
      </c>
      <c r="H1" s="84">
        <f>'１・２年　１回目'!H1+'３・４年　１回目'!H1+'５・６年　１回目'!H1</f>
        <v>0</v>
      </c>
      <c r="I1" s="68" t="s">
        <v>17</v>
      </c>
      <c r="J1" s="129" t="s">
        <v>9</v>
      </c>
      <c r="K1" s="130"/>
      <c r="L1" s="130"/>
      <c r="M1" s="130"/>
      <c r="N1" s="130"/>
      <c r="O1" s="130"/>
    </row>
    <row r="2" spans="1:15" s="15" customFormat="1" ht="20.25" customHeight="1">
      <c r="A2" s="141"/>
      <c r="B2" s="127" t="s">
        <v>1</v>
      </c>
      <c r="C2" s="127" t="str">
        <f>IF('５・６年印刷用'!C4="","",'５・６年印刷用'!C4)</f>
        <v>質　問　項　目</v>
      </c>
      <c r="D2" s="148" t="s">
        <v>31</v>
      </c>
      <c r="E2" s="148"/>
      <c r="F2" s="148"/>
      <c r="G2" s="148"/>
      <c r="H2" s="148"/>
      <c r="I2" s="149"/>
      <c r="J2" s="145" t="s">
        <v>8</v>
      </c>
      <c r="K2" s="146"/>
      <c r="L2" s="146"/>
      <c r="M2" s="146"/>
      <c r="N2" s="146"/>
      <c r="O2" s="147"/>
    </row>
    <row r="3" spans="1:15" s="4" customFormat="1" ht="97.5" customHeight="1" thickBot="1">
      <c r="A3" s="142"/>
      <c r="B3" s="128"/>
      <c r="C3" s="128"/>
      <c r="D3" s="36" t="s">
        <v>2</v>
      </c>
      <c r="E3" s="36" t="s">
        <v>3</v>
      </c>
      <c r="F3" s="36" t="s">
        <v>4</v>
      </c>
      <c r="G3" s="36" t="s">
        <v>5</v>
      </c>
      <c r="H3" s="37" t="s">
        <v>6</v>
      </c>
      <c r="I3" s="38" t="s">
        <v>7</v>
      </c>
      <c r="J3" s="39" t="s">
        <v>2</v>
      </c>
      <c r="K3" s="36" t="s">
        <v>3</v>
      </c>
      <c r="L3" s="36" t="s">
        <v>4</v>
      </c>
      <c r="M3" s="36" t="s">
        <v>5</v>
      </c>
      <c r="N3" s="42" t="s">
        <v>7</v>
      </c>
      <c r="O3" s="45" t="s">
        <v>30</v>
      </c>
    </row>
    <row r="4" spans="1:15" s="4" customFormat="1" ht="45" customHeight="1" thickTop="1">
      <c r="A4" s="150" t="s">
        <v>71</v>
      </c>
      <c r="B4" s="10">
        <v>1</v>
      </c>
      <c r="C4" s="86" t="s" ph="1">
        <v>54</v>
      </c>
      <c r="D4" s="10">
        <f>'１・２年　１回目'!D4+'３・４年　１回目'!D4+'５・６年　１回目'!D4</f>
        <v>0</v>
      </c>
      <c r="E4" s="10">
        <f>'１・２年　１回目'!E4+'３・４年　１回目'!E4+'５・６年　１回目'!E4</f>
        <v>0</v>
      </c>
      <c r="F4" s="10">
        <f>'１・２年　１回目'!F4+'３・４年　１回目'!F4+'５・６年　１回目'!F4</f>
        <v>0</v>
      </c>
      <c r="G4" s="10">
        <f>'１・２年　１回目'!G4+'３・４年　１回目'!G4+'５・６年　１回目'!G4</f>
        <v>0</v>
      </c>
      <c r="H4" s="32">
        <f>SUM(D4:G4)</f>
        <v>0</v>
      </c>
      <c r="I4" s="33">
        <f>SUM(D4:E4)</f>
        <v>0</v>
      </c>
      <c r="J4" s="34" t="e">
        <f>D4/H4</f>
        <v>#DIV/0!</v>
      </c>
      <c r="K4" s="35" t="e">
        <f>E4/ H4</f>
        <v>#DIV/0!</v>
      </c>
      <c r="L4" s="35" t="e">
        <f>F4/H4</f>
        <v>#DIV/0!</v>
      </c>
      <c r="M4" s="35" t="e">
        <f>G4/H4</f>
        <v>#DIV/0!</v>
      </c>
      <c r="N4" s="43" t="e">
        <f>I4/H4</f>
        <v>#DIV/0!</v>
      </c>
      <c r="O4" s="151" t="e">
        <f>AVERAGE(N4:N5)</f>
        <v>#DIV/0!</v>
      </c>
    </row>
    <row r="5" spans="1:15" s="4" customFormat="1" ht="45" customHeight="1">
      <c r="A5" s="132"/>
      <c r="B5" s="9">
        <v>2</v>
      </c>
      <c r="C5" s="89" t="s" ph="1">
        <v>55</v>
      </c>
      <c r="D5" s="10">
        <f>'１・２年　１回目'!D5+'３・４年　１回目'!D5+'５・６年　１回目'!D5</f>
        <v>0</v>
      </c>
      <c r="E5" s="10">
        <f>'１・２年　１回目'!E5+'３・４年　１回目'!E5+'５・６年　１回目'!E5</f>
        <v>0</v>
      </c>
      <c r="F5" s="10">
        <f>'１・２年　１回目'!F5+'３・４年　１回目'!F5+'５・６年　１回目'!F5</f>
        <v>0</v>
      </c>
      <c r="G5" s="10">
        <f>'１・２年　１回目'!G5+'３・４年　１回目'!G5+'５・６年　１回目'!G5</f>
        <v>0</v>
      </c>
      <c r="H5" s="20">
        <f t="shared" ref="H5:H13" si="0">SUM(D5:G5)</f>
        <v>0</v>
      </c>
      <c r="I5" s="24">
        <f t="shared" ref="I5:I13" si="1">SUM(D5:E5)</f>
        <v>0</v>
      </c>
      <c r="J5" s="22" t="e">
        <f t="shared" ref="J5:J13" si="2">D5/H5</f>
        <v>#DIV/0!</v>
      </c>
      <c r="K5" s="21" t="e">
        <f t="shared" ref="K5:K13" si="3">E5/ H5</f>
        <v>#DIV/0!</v>
      </c>
      <c r="L5" s="21" t="e">
        <f t="shared" ref="L5:L13" si="4">F5/H5</f>
        <v>#DIV/0!</v>
      </c>
      <c r="M5" s="21" t="e">
        <f t="shared" ref="M5:M13" si="5">G5/H5</f>
        <v>#DIV/0!</v>
      </c>
      <c r="N5" s="44" t="e">
        <f t="shared" ref="N5:N13" si="6">I5/H5</f>
        <v>#DIV/0!</v>
      </c>
      <c r="O5" s="144"/>
    </row>
    <row r="6" spans="1:15" s="4" customFormat="1" ht="45" customHeight="1">
      <c r="A6" s="133" t="s">
        <v>0</v>
      </c>
      <c r="B6" s="9">
        <v>3</v>
      </c>
      <c r="C6" s="88" t="s" ph="1">
        <v>56</v>
      </c>
      <c r="D6" s="10">
        <f>'１・２年　１回目'!D6+'３・４年　１回目'!D6+'５・６年　１回目'!D6</f>
        <v>0</v>
      </c>
      <c r="E6" s="10">
        <f>'１・２年　１回目'!E6+'３・４年　１回目'!E6+'５・６年　１回目'!E6</f>
        <v>0</v>
      </c>
      <c r="F6" s="10">
        <f>'１・２年　１回目'!F6+'３・４年　１回目'!F6+'５・６年　１回目'!F6</f>
        <v>0</v>
      </c>
      <c r="G6" s="10">
        <f>'１・２年　１回目'!G6+'３・４年　１回目'!G6+'５・６年　１回目'!G6</f>
        <v>0</v>
      </c>
      <c r="H6" s="20">
        <f t="shared" si="0"/>
        <v>0</v>
      </c>
      <c r="I6" s="24">
        <f t="shared" si="1"/>
        <v>0</v>
      </c>
      <c r="J6" s="22" t="e">
        <f t="shared" si="2"/>
        <v>#DIV/0!</v>
      </c>
      <c r="K6" s="21" t="e">
        <f t="shared" si="3"/>
        <v>#DIV/0!</v>
      </c>
      <c r="L6" s="21" t="e">
        <f t="shared" si="4"/>
        <v>#DIV/0!</v>
      </c>
      <c r="M6" s="21" t="e">
        <f t="shared" si="5"/>
        <v>#DIV/0!</v>
      </c>
      <c r="N6" s="44" t="e">
        <f t="shared" si="6"/>
        <v>#DIV/0!</v>
      </c>
      <c r="O6" s="138" t="e">
        <f>AVERAGE(N6:N7)</f>
        <v>#DIV/0!</v>
      </c>
    </row>
    <row r="7" spans="1:15" s="4" customFormat="1" ht="45" customHeight="1">
      <c r="A7" s="134"/>
      <c r="B7" s="9">
        <v>4</v>
      </c>
      <c r="C7" s="88" t="s">
        <v>33</v>
      </c>
      <c r="D7" s="10">
        <f>'１・２年　１回目'!D7+'３・４年　１回目'!D7+'５・６年　１回目'!D7</f>
        <v>0</v>
      </c>
      <c r="E7" s="10">
        <f>'１・２年　１回目'!E7+'３・４年　１回目'!E7+'５・６年　１回目'!E7</f>
        <v>0</v>
      </c>
      <c r="F7" s="10">
        <f>'１・２年　１回目'!F7+'３・４年　１回目'!F7+'５・６年　１回目'!F7</f>
        <v>0</v>
      </c>
      <c r="G7" s="10">
        <f>'１・２年　１回目'!G7+'３・４年　１回目'!G7+'５・６年　１回目'!G7</f>
        <v>0</v>
      </c>
      <c r="H7" s="20">
        <f t="shared" si="0"/>
        <v>0</v>
      </c>
      <c r="I7" s="24">
        <f t="shared" si="1"/>
        <v>0</v>
      </c>
      <c r="J7" s="22" t="e">
        <f t="shared" si="2"/>
        <v>#DIV/0!</v>
      </c>
      <c r="K7" s="21" t="e">
        <f t="shared" si="3"/>
        <v>#DIV/0!</v>
      </c>
      <c r="L7" s="21" t="e">
        <f t="shared" si="4"/>
        <v>#DIV/0!</v>
      </c>
      <c r="M7" s="21" t="e">
        <f t="shared" si="5"/>
        <v>#DIV/0!</v>
      </c>
      <c r="N7" s="44" t="e">
        <f t="shared" si="6"/>
        <v>#DIV/0!</v>
      </c>
      <c r="O7" s="144"/>
    </row>
    <row r="8" spans="1:15" s="4" customFormat="1" ht="45" customHeight="1">
      <c r="A8" s="92" t="s">
        <v>58</v>
      </c>
      <c r="B8" s="9">
        <v>5</v>
      </c>
      <c r="C8" s="88" t="s" ph="1">
        <v>57</v>
      </c>
      <c r="D8" s="10">
        <f>'１・２年　１回目'!D8+'３・４年　１回目'!D8+'５・６年　１回目'!D8</f>
        <v>0</v>
      </c>
      <c r="E8" s="10">
        <f>'１・２年　１回目'!E8+'３・４年　１回目'!E8+'５・６年　１回目'!E8</f>
        <v>0</v>
      </c>
      <c r="F8" s="10">
        <f>'１・２年　１回目'!F8+'３・４年　１回目'!F8+'５・６年　１回目'!F8</f>
        <v>0</v>
      </c>
      <c r="G8" s="10">
        <f>'１・２年　１回目'!G8+'３・４年　１回目'!G8+'５・６年　１回目'!G8</f>
        <v>0</v>
      </c>
      <c r="H8" s="20">
        <f t="shared" si="0"/>
        <v>0</v>
      </c>
      <c r="I8" s="24">
        <f t="shared" si="1"/>
        <v>0</v>
      </c>
      <c r="J8" s="22" t="e">
        <f t="shared" si="2"/>
        <v>#DIV/0!</v>
      </c>
      <c r="K8" s="21" t="e">
        <f t="shared" si="3"/>
        <v>#DIV/0!</v>
      </c>
      <c r="L8" s="21" t="e">
        <f t="shared" si="4"/>
        <v>#DIV/0!</v>
      </c>
      <c r="M8" s="21" t="e">
        <f t="shared" si="5"/>
        <v>#DIV/0!</v>
      </c>
      <c r="N8" s="44" t="e">
        <f t="shared" si="6"/>
        <v>#DIV/0!</v>
      </c>
      <c r="O8" s="113" t="e">
        <f>AVERAGE(N8)</f>
        <v>#DIV/0!</v>
      </c>
    </row>
    <row r="9" spans="1:15" s="4" customFormat="1" ht="45" customHeight="1">
      <c r="A9" s="135" t="s">
        <v>59</v>
      </c>
      <c r="B9" s="9">
        <v>6</v>
      </c>
      <c r="C9" s="87" t="s">
        <v>75</v>
      </c>
      <c r="D9" s="10">
        <f>'１・２年　１回目'!D9+'３・４年　１回目'!D9+'５・６年　１回目'!D9</f>
        <v>0</v>
      </c>
      <c r="E9" s="10">
        <f>'１・２年　１回目'!E9+'３・４年　１回目'!E9+'５・６年　１回目'!E9</f>
        <v>0</v>
      </c>
      <c r="F9" s="10">
        <f>'１・２年　１回目'!F9+'３・４年　１回目'!F9+'５・６年　１回目'!F9</f>
        <v>0</v>
      </c>
      <c r="G9" s="10">
        <f>'１・２年　１回目'!G9+'３・４年　１回目'!G9+'５・６年　１回目'!G9</f>
        <v>0</v>
      </c>
      <c r="H9" s="20">
        <f t="shared" si="0"/>
        <v>0</v>
      </c>
      <c r="I9" s="24">
        <f t="shared" si="1"/>
        <v>0</v>
      </c>
      <c r="J9" s="22" t="e">
        <f t="shared" si="2"/>
        <v>#DIV/0!</v>
      </c>
      <c r="K9" s="21" t="e">
        <f t="shared" si="3"/>
        <v>#DIV/0!</v>
      </c>
      <c r="L9" s="21" t="e">
        <f t="shared" si="4"/>
        <v>#DIV/0!</v>
      </c>
      <c r="M9" s="21" t="e">
        <f t="shared" si="5"/>
        <v>#DIV/0!</v>
      </c>
      <c r="N9" s="44" t="e">
        <f t="shared" si="6"/>
        <v>#DIV/0!</v>
      </c>
      <c r="O9" s="138" t="e">
        <f>AVERAGE(N9:N10)</f>
        <v>#DIV/0!</v>
      </c>
    </row>
    <row r="10" spans="1:15" s="4" customFormat="1" ht="45" customHeight="1">
      <c r="A10" s="136"/>
      <c r="B10" s="9">
        <v>7</v>
      </c>
      <c r="C10" s="88" t="s">
        <v>53</v>
      </c>
      <c r="D10" s="10">
        <f>'１・２年　１回目'!D10+'３・４年　１回目'!D10+'５・６年　１回目'!D10</f>
        <v>0</v>
      </c>
      <c r="E10" s="10">
        <f>'１・２年　１回目'!E10+'３・４年　１回目'!E10+'５・６年　１回目'!E10</f>
        <v>0</v>
      </c>
      <c r="F10" s="10">
        <f>'１・２年　１回目'!F10+'３・４年　１回目'!F10+'５・６年　１回目'!F10</f>
        <v>0</v>
      </c>
      <c r="G10" s="10">
        <f>'１・２年　１回目'!G10+'３・４年　１回目'!G10+'５・６年　１回目'!G10</f>
        <v>0</v>
      </c>
      <c r="H10" s="20">
        <f>SUM(D10:G10)</f>
        <v>0</v>
      </c>
      <c r="I10" s="24">
        <f>SUM(D10:E10)</f>
        <v>0</v>
      </c>
      <c r="J10" s="22" t="e">
        <f t="shared" si="2"/>
        <v>#DIV/0!</v>
      </c>
      <c r="K10" s="21" t="e">
        <f t="shared" si="3"/>
        <v>#DIV/0!</v>
      </c>
      <c r="L10" s="21" t="e">
        <f t="shared" si="4"/>
        <v>#DIV/0!</v>
      </c>
      <c r="M10" s="21" t="e">
        <f t="shared" si="5"/>
        <v>#DIV/0!</v>
      </c>
      <c r="N10" s="44" t="e">
        <f t="shared" si="6"/>
        <v>#DIV/0!</v>
      </c>
      <c r="O10" s="140"/>
    </row>
    <row r="11" spans="1:15" s="4" customFormat="1" ht="45" customHeight="1">
      <c r="A11" s="92" t="s">
        <v>60</v>
      </c>
      <c r="B11" s="9">
        <v>8</v>
      </c>
      <c r="C11" s="87" t="s">
        <v>67</v>
      </c>
      <c r="D11" s="10">
        <f>'１・２年　１回目'!D11+'３・４年　１回目'!D11+'５・６年　１回目'!D11</f>
        <v>0</v>
      </c>
      <c r="E11" s="10">
        <f>'１・２年　１回目'!E11+'３・４年　１回目'!E11+'５・６年　１回目'!E11</f>
        <v>0</v>
      </c>
      <c r="F11" s="10">
        <f>'１・２年　１回目'!F11+'３・４年　１回目'!F11+'５・６年　１回目'!F11</f>
        <v>0</v>
      </c>
      <c r="G11" s="10">
        <f>'１・２年　１回目'!G11+'３・４年　１回目'!G11+'５・６年　１回目'!G11</f>
        <v>0</v>
      </c>
      <c r="H11" s="20">
        <f>SUM(D11:G11)</f>
        <v>0</v>
      </c>
      <c r="I11" s="24">
        <f>SUM(D11:E11)</f>
        <v>0</v>
      </c>
      <c r="J11" s="22" t="e">
        <f t="shared" si="2"/>
        <v>#DIV/0!</v>
      </c>
      <c r="K11" s="21" t="e">
        <f t="shared" si="3"/>
        <v>#DIV/0!</v>
      </c>
      <c r="L11" s="21" t="e">
        <f t="shared" si="4"/>
        <v>#DIV/0!</v>
      </c>
      <c r="M11" s="21" t="e">
        <f t="shared" si="5"/>
        <v>#DIV/0!</v>
      </c>
      <c r="N11" s="44" t="e">
        <f t="shared" si="6"/>
        <v>#DIV/0!</v>
      </c>
      <c r="O11" s="114" t="e">
        <f>AVERAGE(N11)</f>
        <v>#DIV/0!</v>
      </c>
    </row>
    <row r="12" spans="1:15" s="4" customFormat="1" ht="45" customHeight="1">
      <c r="A12" s="135" t="s">
        <v>70</v>
      </c>
      <c r="B12" s="9">
        <v>9</v>
      </c>
      <c r="C12" s="93" t="s">
        <v>68</v>
      </c>
      <c r="D12" s="10">
        <f>'１・２年　１回目'!D12+'３・４年　１回目'!D12+'５・６年　１回目'!D12</f>
        <v>0</v>
      </c>
      <c r="E12" s="10">
        <f>'１・２年　１回目'!E12+'３・４年　１回目'!E12+'５・６年　１回目'!E12</f>
        <v>0</v>
      </c>
      <c r="F12" s="10">
        <f>'１・２年　１回目'!F12+'３・４年　１回目'!F12+'５・６年　１回目'!F12</f>
        <v>0</v>
      </c>
      <c r="G12" s="10">
        <f>'１・２年　１回目'!G12+'３・４年　１回目'!G12+'５・６年　１回目'!G12</f>
        <v>0</v>
      </c>
      <c r="H12" s="20">
        <f t="shared" si="0"/>
        <v>0</v>
      </c>
      <c r="I12" s="24">
        <f t="shared" si="1"/>
        <v>0</v>
      </c>
      <c r="J12" s="22" t="e">
        <f t="shared" si="2"/>
        <v>#DIV/0!</v>
      </c>
      <c r="K12" s="21" t="e">
        <f t="shared" si="3"/>
        <v>#DIV/0!</v>
      </c>
      <c r="L12" s="21" t="e">
        <f t="shared" si="4"/>
        <v>#DIV/0!</v>
      </c>
      <c r="M12" s="21" t="e">
        <f t="shared" si="5"/>
        <v>#DIV/0!</v>
      </c>
      <c r="N12" s="44" t="e">
        <f t="shared" si="6"/>
        <v>#DIV/0!</v>
      </c>
      <c r="O12" s="138" t="e">
        <f>AVERAGE(N12:N13)</f>
        <v>#DIV/0!</v>
      </c>
    </row>
    <row r="13" spans="1:15" s="4" customFormat="1" ht="45" customHeight="1" thickBot="1">
      <c r="A13" s="137"/>
      <c r="B13" s="12">
        <v>10</v>
      </c>
      <c r="C13" s="94" t="s" ph="1">
        <v>69</v>
      </c>
      <c r="D13" s="99">
        <f>'１・２年　１回目'!D13+'３・４年　１回目'!D13+'５・６年　１回目'!D13</f>
        <v>0</v>
      </c>
      <c r="E13" s="99">
        <f>'１・２年　１回目'!E13+'３・４年　１回目'!E13+'５・６年　１回目'!E13</f>
        <v>0</v>
      </c>
      <c r="F13" s="99">
        <f>'１・２年　１回目'!F13+'３・４年　１回目'!F13+'５・６年　１回目'!F13</f>
        <v>0</v>
      </c>
      <c r="G13" s="99">
        <f>'１・２年　１回目'!G13+'３・４年　１回目'!G13+'５・６年　１回目'!G13</f>
        <v>0</v>
      </c>
      <c r="H13" s="100">
        <f t="shared" si="0"/>
        <v>0</v>
      </c>
      <c r="I13" s="101">
        <f t="shared" si="1"/>
        <v>0</v>
      </c>
      <c r="J13" s="102" t="e">
        <f t="shared" si="2"/>
        <v>#DIV/0!</v>
      </c>
      <c r="K13" s="103" t="e">
        <f t="shared" si="3"/>
        <v>#DIV/0!</v>
      </c>
      <c r="L13" s="103" t="e">
        <f t="shared" si="4"/>
        <v>#DIV/0!</v>
      </c>
      <c r="M13" s="103" t="e">
        <f t="shared" si="5"/>
        <v>#DIV/0!</v>
      </c>
      <c r="N13" s="104" t="e">
        <f t="shared" si="6"/>
        <v>#DIV/0!</v>
      </c>
      <c r="O13" s="139"/>
    </row>
    <row r="14" spans="1:15" ht="22.5" customHeight="1">
      <c r="A14" s="124" t="s">
        <v>29</v>
      </c>
      <c r="B14" s="125"/>
      <c r="C14" s="125"/>
      <c r="D14" s="125"/>
      <c r="E14" s="125"/>
      <c r="F14" s="125"/>
      <c r="G14" s="125"/>
    </row>
    <row r="17" ht="24" customHeight="1"/>
    <row r="18" ht="24" customHeight="1"/>
  </sheetData>
  <sheetProtection formatCells="0"/>
  <mergeCells count="16">
    <mergeCell ref="A14:G14"/>
    <mergeCell ref="A12:A13"/>
    <mergeCell ref="O12:O13"/>
    <mergeCell ref="A4:A5"/>
    <mergeCell ref="A6:A7"/>
    <mergeCell ref="A9:A10"/>
    <mergeCell ref="O4:O5"/>
    <mergeCell ref="O6:O7"/>
    <mergeCell ref="O9:O10"/>
    <mergeCell ref="A1:C1"/>
    <mergeCell ref="J1:O1"/>
    <mergeCell ref="A2:A3"/>
    <mergeCell ref="B2:B3"/>
    <mergeCell ref="C2:C3"/>
    <mergeCell ref="D2:I2"/>
    <mergeCell ref="J2:O2"/>
  </mergeCells>
  <phoneticPr fontId="2"/>
  <conditionalFormatting sqref="H1 D4:G13">
    <cfRule type="containsBlanks" dxfId="2" priority="1" stopIfTrue="1">
      <formula>LEN(TRIM(D1))=0</formula>
    </cfRule>
  </conditionalFormatting>
  <pageMargins left="0.39370078740157483" right="0.39370078740157483" top="0.39370078740157483" bottom="0.39370078740157483" header="0.51181102362204722" footer="0.51181102362204722"/>
  <pageSetup paperSize="9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/>
  </sheetPr>
  <dimension ref="A1:O18"/>
  <sheetViews>
    <sheetView showGridLines="0" view="pageBreakPreview" topLeftCell="A3" zoomScaleNormal="100" zoomScaleSheetLayoutView="100" workbookViewId="0">
      <selection activeCell="W13" sqref="W12:W13"/>
    </sheetView>
  </sheetViews>
  <sheetFormatPr defaultColWidth="9" defaultRowHeight="13.2"/>
  <cols>
    <col min="1" max="1" width="5" style="18" customWidth="1"/>
    <col min="2" max="2" width="3.109375" style="18" customWidth="1"/>
    <col min="3" max="3" width="52.33203125" style="18" customWidth="1"/>
    <col min="4" max="14" width="6.77734375" style="18" customWidth="1"/>
    <col min="15" max="15" width="6.77734375" style="23" customWidth="1"/>
    <col min="16" max="16384" width="9" style="18"/>
  </cols>
  <sheetData>
    <row r="1" spans="1:15" s="30" customFormat="1" ht="20.25" customHeight="1" thickBot="1">
      <c r="A1" s="178" t="s">
        <v>40</v>
      </c>
      <c r="B1" s="178"/>
      <c r="C1" s="178"/>
      <c r="D1" s="81"/>
      <c r="E1" s="82"/>
      <c r="F1" s="82"/>
      <c r="G1" s="83" t="s">
        <v>16</v>
      </c>
      <c r="H1" s="84">
        <f>'１・２年　２回目'!H1+'３・４年　２回目'!H1+'５・６年　２回目'!H1</f>
        <v>0</v>
      </c>
      <c r="I1" s="85" t="s">
        <v>17</v>
      </c>
      <c r="J1" s="179" t="s">
        <v>10</v>
      </c>
      <c r="K1" s="180"/>
      <c r="L1" s="180"/>
      <c r="M1" s="180"/>
      <c r="N1" s="180"/>
      <c r="O1" s="180"/>
    </row>
    <row r="2" spans="1:15" s="15" customFormat="1" ht="20.25" customHeight="1">
      <c r="A2" s="141"/>
      <c r="B2" s="127" t="s">
        <v>34</v>
      </c>
      <c r="C2" s="127" t="str">
        <f>IF('５・６年印刷用'!C4="","",'５・６年印刷用'!C4)</f>
        <v>質　問　項　目</v>
      </c>
      <c r="D2" s="181" t="s">
        <v>31</v>
      </c>
      <c r="E2" s="181"/>
      <c r="F2" s="181"/>
      <c r="G2" s="181"/>
      <c r="H2" s="181"/>
      <c r="I2" s="182"/>
      <c r="J2" s="183" t="s">
        <v>8</v>
      </c>
      <c r="K2" s="184"/>
      <c r="L2" s="184"/>
      <c r="M2" s="184"/>
      <c r="N2" s="184"/>
      <c r="O2" s="185"/>
    </row>
    <row r="3" spans="1:15" s="4" customFormat="1" ht="97.5" customHeight="1" thickBot="1">
      <c r="A3" s="142"/>
      <c r="B3" s="128"/>
      <c r="C3" s="128"/>
      <c r="D3" s="36" t="s">
        <v>2</v>
      </c>
      <c r="E3" s="36" t="s">
        <v>3</v>
      </c>
      <c r="F3" s="36" t="s">
        <v>4</v>
      </c>
      <c r="G3" s="36" t="s">
        <v>5</v>
      </c>
      <c r="H3" s="37" t="s">
        <v>6</v>
      </c>
      <c r="I3" s="38" t="s">
        <v>7</v>
      </c>
      <c r="J3" s="39" t="s">
        <v>2</v>
      </c>
      <c r="K3" s="36" t="s">
        <v>3</v>
      </c>
      <c r="L3" s="36" t="s">
        <v>4</v>
      </c>
      <c r="M3" s="36" t="s">
        <v>5</v>
      </c>
      <c r="N3" s="42" t="s">
        <v>7</v>
      </c>
      <c r="O3" s="45" t="s">
        <v>30</v>
      </c>
    </row>
    <row r="4" spans="1:15" s="4" customFormat="1" ht="45" customHeight="1" thickTop="1">
      <c r="A4" s="150" t="s">
        <v>71</v>
      </c>
      <c r="B4" s="10">
        <v>1</v>
      </c>
      <c r="C4" s="86" t="s" ph="1">
        <v>54</v>
      </c>
      <c r="D4" s="10">
        <f>'１・２年　２回目'!D4+'３・４年　２回目'!D4+'５・６年　２回目'!D4</f>
        <v>0</v>
      </c>
      <c r="E4" s="10">
        <f>'１・２年　２回目'!E4+'３・４年　２回目'!E4+'５・６年　２回目'!E4</f>
        <v>0</v>
      </c>
      <c r="F4" s="10">
        <f>'１・２年　２回目'!F4+'３・４年　２回目'!F4+'５・６年　２回目'!F4</f>
        <v>0</v>
      </c>
      <c r="G4" s="10">
        <f>'１・２年　２回目'!G4+'３・４年　２回目'!G4+'５・６年　２回目'!G4</f>
        <v>0</v>
      </c>
      <c r="H4" s="32">
        <f>SUM(D4:G4)</f>
        <v>0</v>
      </c>
      <c r="I4" s="33">
        <f>SUM(D4:E4)</f>
        <v>0</v>
      </c>
      <c r="J4" s="34" t="e">
        <f>D4/H4</f>
        <v>#DIV/0!</v>
      </c>
      <c r="K4" s="35" t="e">
        <f>E4/ H4</f>
        <v>#DIV/0!</v>
      </c>
      <c r="L4" s="35" t="e">
        <f>F4/H4</f>
        <v>#DIV/0!</v>
      </c>
      <c r="M4" s="35" t="e">
        <f>G4/H4</f>
        <v>#DIV/0!</v>
      </c>
      <c r="N4" s="43" t="e">
        <f>I4/H4</f>
        <v>#DIV/0!</v>
      </c>
      <c r="O4" s="151" t="e">
        <f>AVERAGE(N4:N5)</f>
        <v>#DIV/0!</v>
      </c>
    </row>
    <row r="5" spans="1:15" s="4" customFormat="1" ht="45" customHeight="1">
      <c r="A5" s="132"/>
      <c r="B5" s="9">
        <v>2</v>
      </c>
      <c r="C5" s="89" t="s" ph="1">
        <v>55</v>
      </c>
      <c r="D5" s="10">
        <f>'１・２年　２回目'!D5+'３・４年　２回目'!D5+'５・６年　２回目'!D5</f>
        <v>0</v>
      </c>
      <c r="E5" s="10">
        <f>'１・２年　２回目'!E5+'３・４年　２回目'!E5+'５・６年　２回目'!E5</f>
        <v>0</v>
      </c>
      <c r="F5" s="10">
        <f>'１・２年　２回目'!F5+'３・４年　２回目'!F5+'５・６年　２回目'!F5</f>
        <v>0</v>
      </c>
      <c r="G5" s="10">
        <f>'１・２年　２回目'!G5+'３・４年　２回目'!G5+'５・６年　２回目'!G5</f>
        <v>0</v>
      </c>
      <c r="H5" s="20">
        <f t="shared" ref="H5:H13" si="0">SUM(D5:G5)</f>
        <v>0</v>
      </c>
      <c r="I5" s="24">
        <f t="shared" ref="I5:I13" si="1">SUM(D5:E5)</f>
        <v>0</v>
      </c>
      <c r="J5" s="22" t="e">
        <f t="shared" ref="J5:J13" si="2">D5/H5</f>
        <v>#DIV/0!</v>
      </c>
      <c r="K5" s="21" t="e">
        <f t="shared" ref="K5:K13" si="3">E5/ H5</f>
        <v>#DIV/0!</v>
      </c>
      <c r="L5" s="21" t="e">
        <f t="shared" ref="L5:L13" si="4">F5/H5</f>
        <v>#DIV/0!</v>
      </c>
      <c r="M5" s="21" t="e">
        <f t="shared" ref="M5:M13" si="5">G5/H5</f>
        <v>#DIV/0!</v>
      </c>
      <c r="N5" s="44" t="e">
        <f t="shared" ref="N5:N13" si="6">I5/H5</f>
        <v>#DIV/0!</v>
      </c>
      <c r="O5" s="144"/>
    </row>
    <row r="6" spans="1:15" s="4" customFormat="1" ht="45" customHeight="1">
      <c r="A6" s="133" t="s">
        <v>0</v>
      </c>
      <c r="B6" s="9">
        <v>3</v>
      </c>
      <c r="C6" s="88" t="s" ph="1">
        <v>56</v>
      </c>
      <c r="D6" s="10">
        <f>'１・２年　２回目'!D6+'３・４年　２回目'!D6+'５・６年　２回目'!D6</f>
        <v>0</v>
      </c>
      <c r="E6" s="10">
        <f>'１・２年　２回目'!E6+'３・４年　２回目'!E6+'５・６年　２回目'!E6</f>
        <v>0</v>
      </c>
      <c r="F6" s="10">
        <f>'１・２年　２回目'!F6+'３・４年　２回目'!F6+'５・６年　２回目'!F6</f>
        <v>0</v>
      </c>
      <c r="G6" s="10">
        <f>'１・２年　２回目'!G6+'３・４年　２回目'!G6+'５・６年　２回目'!G6</f>
        <v>0</v>
      </c>
      <c r="H6" s="20">
        <f t="shared" si="0"/>
        <v>0</v>
      </c>
      <c r="I6" s="24">
        <f t="shared" si="1"/>
        <v>0</v>
      </c>
      <c r="J6" s="22" t="e">
        <f t="shared" si="2"/>
        <v>#DIV/0!</v>
      </c>
      <c r="K6" s="21" t="e">
        <f t="shared" si="3"/>
        <v>#DIV/0!</v>
      </c>
      <c r="L6" s="21" t="e">
        <f t="shared" si="4"/>
        <v>#DIV/0!</v>
      </c>
      <c r="M6" s="21" t="e">
        <f t="shared" si="5"/>
        <v>#DIV/0!</v>
      </c>
      <c r="N6" s="44" t="e">
        <f t="shared" si="6"/>
        <v>#DIV/0!</v>
      </c>
      <c r="O6" s="138" t="e">
        <f>AVERAGE(N6:N7)</f>
        <v>#DIV/0!</v>
      </c>
    </row>
    <row r="7" spans="1:15" s="4" customFormat="1" ht="45" customHeight="1">
      <c r="A7" s="134"/>
      <c r="B7" s="9">
        <v>4</v>
      </c>
      <c r="C7" s="88" t="s">
        <v>33</v>
      </c>
      <c r="D7" s="10">
        <f>'１・２年　２回目'!D7+'３・４年　２回目'!D7+'５・６年　２回目'!D7</f>
        <v>0</v>
      </c>
      <c r="E7" s="10">
        <f>'１・２年　２回目'!E7+'３・４年　２回目'!E7+'５・６年　２回目'!E7</f>
        <v>0</v>
      </c>
      <c r="F7" s="10">
        <f>'１・２年　２回目'!F7+'３・４年　２回目'!F7+'５・６年　２回目'!F7</f>
        <v>0</v>
      </c>
      <c r="G7" s="10">
        <f>'１・２年　２回目'!G7+'３・４年　２回目'!G7+'５・６年　２回目'!G7</f>
        <v>0</v>
      </c>
      <c r="H7" s="20">
        <f t="shared" si="0"/>
        <v>0</v>
      </c>
      <c r="I7" s="24">
        <f t="shared" si="1"/>
        <v>0</v>
      </c>
      <c r="J7" s="22" t="e">
        <f t="shared" si="2"/>
        <v>#DIV/0!</v>
      </c>
      <c r="K7" s="21" t="e">
        <f t="shared" si="3"/>
        <v>#DIV/0!</v>
      </c>
      <c r="L7" s="21" t="e">
        <f t="shared" si="4"/>
        <v>#DIV/0!</v>
      </c>
      <c r="M7" s="21" t="e">
        <f t="shared" si="5"/>
        <v>#DIV/0!</v>
      </c>
      <c r="N7" s="44" t="e">
        <f t="shared" si="6"/>
        <v>#DIV/0!</v>
      </c>
      <c r="O7" s="144"/>
    </row>
    <row r="8" spans="1:15" s="4" customFormat="1" ht="45" customHeight="1">
      <c r="A8" s="92" t="s">
        <v>58</v>
      </c>
      <c r="B8" s="9">
        <v>5</v>
      </c>
      <c r="C8" s="88" t="s" ph="1">
        <v>57</v>
      </c>
      <c r="D8" s="10">
        <f>'１・２年　２回目'!D8+'３・４年　２回目'!D8+'５・６年　２回目'!D8</f>
        <v>0</v>
      </c>
      <c r="E8" s="10">
        <f>'１・２年　２回目'!E8+'３・４年　２回目'!E8+'５・６年　２回目'!E8</f>
        <v>0</v>
      </c>
      <c r="F8" s="10">
        <f>'１・２年　２回目'!F8+'３・４年　２回目'!F8+'５・６年　２回目'!F8</f>
        <v>0</v>
      </c>
      <c r="G8" s="10">
        <f>'１・２年　２回目'!G8+'３・４年　２回目'!G8+'５・６年　２回目'!G8</f>
        <v>0</v>
      </c>
      <c r="H8" s="20">
        <f t="shared" si="0"/>
        <v>0</v>
      </c>
      <c r="I8" s="24">
        <f t="shared" si="1"/>
        <v>0</v>
      </c>
      <c r="J8" s="22" t="e">
        <f t="shared" si="2"/>
        <v>#DIV/0!</v>
      </c>
      <c r="K8" s="21" t="e">
        <f t="shared" si="3"/>
        <v>#DIV/0!</v>
      </c>
      <c r="L8" s="21" t="e">
        <f t="shared" si="4"/>
        <v>#DIV/0!</v>
      </c>
      <c r="M8" s="21" t="e">
        <f t="shared" si="5"/>
        <v>#DIV/0!</v>
      </c>
      <c r="N8" s="44" t="e">
        <f t="shared" si="6"/>
        <v>#DIV/0!</v>
      </c>
      <c r="O8" s="113" t="e">
        <f>AVERAGE(N8)</f>
        <v>#DIV/0!</v>
      </c>
    </row>
    <row r="9" spans="1:15" s="4" customFormat="1" ht="45" customHeight="1">
      <c r="A9" s="135" t="s">
        <v>59</v>
      </c>
      <c r="B9" s="9">
        <v>6</v>
      </c>
      <c r="C9" s="87" t="s">
        <v>75</v>
      </c>
      <c r="D9" s="10">
        <f>'１・２年　２回目'!D9+'３・４年　２回目'!D9+'５・６年　２回目'!D9</f>
        <v>0</v>
      </c>
      <c r="E9" s="10">
        <f>'１・２年　２回目'!E9+'３・４年　２回目'!E9+'５・６年　２回目'!E9</f>
        <v>0</v>
      </c>
      <c r="F9" s="10">
        <f>'１・２年　２回目'!F9+'３・４年　２回目'!F9+'５・６年　２回目'!F9</f>
        <v>0</v>
      </c>
      <c r="G9" s="10">
        <f>'１・２年　２回目'!G9+'３・４年　２回目'!G9+'５・６年　２回目'!G9</f>
        <v>0</v>
      </c>
      <c r="H9" s="20">
        <f t="shared" si="0"/>
        <v>0</v>
      </c>
      <c r="I9" s="24">
        <f t="shared" si="1"/>
        <v>0</v>
      </c>
      <c r="J9" s="22" t="e">
        <f t="shared" si="2"/>
        <v>#DIV/0!</v>
      </c>
      <c r="K9" s="21" t="e">
        <f t="shared" si="3"/>
        <v>#DIV/0!</v>
      </c>
      <c r="L9" s="21" t="e">
        <f t="shared" si="4"/>
        <v>#DIV/0!</v>
      </c>
      <c r="M9" s="21" t="e">
        <f t="shared" si="5"/>
        <v>#DIV/0!</v>
      </c>
      <c r="N9" s="44" t="e">
        <f t="shared" si="6"/>
        <v>#DIV/0!</v>
      </c>
      <c r="O9" s="138" t="e">
        <f>AVERAGE(N9:N10)</f>
        <v>#DIV/0!</v>
      </c>
    </row>
    <row r="10" spans="1:15" s="4" customFormat="1" ht="45" customHeight="1">
      <c r="A10" s="136"/>
      <c r="B10" s="9">
        <v>7</v>
      </c>
      <c r="C10" s="88" t="s">
        <v>53</v>
      </c>
      <c r="D10" s="10">
        <f>'１・２年　２回目'!D10+'３・４年　２回目'!D10+'５・６年　２回目'!D10</f>
        <v>0</v>
      </c>
      <c r="E10" s="10">
        <f>'１・２年　２回目'!E10+'３・４年　２回目'!E10+'５・６年　２回目'!E10</f>
        <v>0</v>
      </c>
      <c r="F10" s="10">
        <f>'１・２年　２回目'!F10+'３・４年　２回目'!F10+'５・６年　２回目'!F10</f>
        <v>0</v>
      </c>
      <c r="G10" s="10">
        <f>'１・２年　２回目'!G10+'３・４年　２回目'!G10+'５・６年　２回目'!G10</f>
        <v>0</v>
      </c>
      <c r="H10" s="20">
        <f t="shared" si="0"/>
        <v>0</v>
      </c>
      <c r="I10" s="24">
        <f t="shared" si="1"/>
        <v>0</v>
      </c>
      <c r="J10" s="22" t="e">
        <f t="shared" si="2"/>
        <v>#DIV/0!</v>
      </c>
      <c r="K10" s="21" t="e">
        <f t="shared" si="3"/>
        <v>#DIV/0!</v>
      </c>
      <c r="L10" s="21" t="e">
        <f t="shared" si="4"/>
        <v>#DIV/0!</v>
      </c>
      <c r="M10" s="21" t="e">
        <f t="shared" si="5"/>
        <v>#DIV/0!</v>
      </c>
      <c r="N10" s="44" t="e">
        <f t="shared" si="6"/>
        <v>#DIV/0!</v>
      </c>
      <c r="O10" s="140"/>
    </row>
    <row r="11" spans="1:15" s="4" customFormat="1" ht="45" customHeight="1">
      <c r="A11" s="92" t="s">
        <v>60</v>
      </c>
      <c r="B11" s="9">
        <v>8</v>
      </c>
      <c r="C11" s="87" t="s">
        <v>67</v>
      </c>
      <c r="D11" s="10">
        <f>'１・２年　２回目'!D11+'３・４年　２回目'!D11+'５・６年　２回目'!D11</f>
        <v>0</v>
      </c>
      <c r="E11" s="10">
        <f>'１・２年　２回目'!E11+'３・４年　２回目'!E11+'５・６年　２回目'!E11</f>
        <v>0</v>
      </c>
      <c r="F11" s="10">
        <f>'１・２年　２回目'!F11+'３・４年　２回目'!F11+'５・６年　２回目'!F11</f>
        <v>0</v>
      </c>
      <c r="G11" s="10">
        <f>'１・２年　２回目'!G11+'３・４年　２回目'!G11+'５・６年　２回目'!G11</f>
        <v>0</v>
      </c>
      <c r="H11" s="20">
        <f t="shared" si="0"/>
        <v>0</v>
      </c>
      <c r="I11" s="24">
        <f t="shared" si="1"/>
        <v>0</v>
      </c>
      <c r="J11" s="22" t="e">
        <f t="shared" si="2"/>
        <v>#DIV/0!</v>
      </c>
      <c r="K11" s="21" t="e">
        <f t="shared" si="3"/>
        <v>#DIV/0!</v>
      </c>
      <c r="L11" s="21" t="e">
        <f t="shared" si="4"/>
        <v>#DIV/0!</v>
      </c>
      <c r="M11" s="21" t="e">
        <f t="shared" si="5"/>
        <v>#DIV/0!</v>
      </c>
      <c r="N11" s="44" t="e">
        <f t="shared" si="6"/>
        <v>#DIV/0!</v>
      </c>
      <c r="O11" s="114" t="e">
        <f>AVERAGE(N11)</f>
        <v>#DIV/0!</v>
      </c>
    </row>
    <row r="12" spans="1:15" s="4" customFormat="1" ht="45" customHeight="1">
      <c r="A12" s="135" t="s">
        <v>70</v>
      </c>
      <c r="B12" s="9">
        <v>9</v>
      </c>
      <c r="C12" s="93" t="s">
        <v>68</v>
      </c>
      <c r="D12" s="10">
        <f>'１・２年　２回目'!D12+'３・４年　２回目'!D12+'５・６年　２回目'!D12</f>
        <v>0</v>
      </c>
      <c r="E12" s="10">
        <f>'１・２年　２回目'!E12+'３・４年　２回目'!E12+'５・６年　２回目'!E12</f>
        <v>0</v>
      </c>
      <c r="F12" s="10">
        <f>'１・２年　２回目'!F12+'３・４年　２回目'!F12+'５・６年　２回目'!F12</f>
        <v>0</v>
      </c>
      <c r="G12" s="10">
        <f>'１・２年　２回目'!G12+'３・４年　２回目'!G12+'５・６年　２回目'!G12</f>
        <v>0</v>
      </c>
      <c r="H12" s="20">
        <f t="shared" si="0"/>
        <v>0</v>
      </c>
      <c r="I12" s="24">
        <f t="shared" si="1"/>
        <v>0</v>
      </c>
      <c r="J12" s="22" t="e">
        <f t="shared" si="2"/>
        <v>#DIV/0!</v>
      </c>
      <c r="K12" s="21" t="e">
        <f t="shared" si="3"/>
        <v>#DIV/0!</v>
      </c>
      <c r="L12" s="21" t="e">
        <f t="shared" si="4"/>
        <v>#DIV/0!</v>
      </c>
      <c r="M12" s="21" t="e">
        <f t="shared" si="5"/>
        <v>#DIV/0!</v>
      </c>
      <c r="N12" s="44" t="e">
        <f t="shared" si="6"/>
        <v>#DIV/0!</v>
      </c>
      <c r="O12" s="138" t="e">
        <f>AVERAGE(N12:N13)</f>
        <v>#DIV/0!</v>
      </c>
    </row>
    <row r="13" spans="1:15" s="4" customFormat="1" ht="45" customHeight="1" thickBot="1">
      <c r="A13" s="137"/>
      <c r="B13" s="12">
        <v>10</v>
      </c>
      <c r="C13" s="94" t="s" ph="1">
        <v>69</v>
      </c>
      <c r="D13" s="99">
        <f>'１・２年　２回目'!D13+'３・４年　２回目'!D13+'５・６年　２回目'!D13</f>
        <v>0</v>
      </c>
      <c r="E13" s="99">
        <f>'１・２年　２回目'!E13+'３・４年　２回目'!E13+'５・６年　２回目'!E13</f>
        <v>0</v>
      </c>
      <c r="F13" s="99">
        <f>'１・２年　２回目'!F13+'３・４年　２回目'!F13+'５・６年　２回目'!F13</f>
        <v>0</v>
      </c>
      <c r="G13" s="99">
        <f>'１・２年　２回目'!G13+'３・４年　２回目'!G13+'５・６年　２回目'!G13</f>
        <v>0</v>
      </c>
      <c r="H13" s="100">
        <f t="shared" si="0"/>
        <v>0</v>
      </c>
      <c r="I13" s="101">
        <f t="shared" si="1"/>
        <v>0</v>
      </c>
      <c r="J13" s="102" t="e">
        <f t="shared" si="2"/>
        <v>#DIV/0!</v>
      </c>
      <c r="K13" s="103" t="e">
        <f t="shared" si="3"/>
        <v>#DIV/0!</v>
      </c>
      <c r="L13" s="103" t="e">
        <f t="shared" si="4"/>
        <v>#DIV/0!</v>
      </c>
      <c r="M13" s="103" t="e">
        <f t="shared" si="5"/>
        <v>#DIV/0!</v>
      </c>
      <c r="N13" s="104" t="e">
        <f t="shared" si="6"/>
        <v>#DIV/0!</v>
      </c>
      <c r="O13" s="139"/>
    </row>
    <row r="14" spans="1:15" ht="22.5" customHeight="1">
      <c r="A14" s="124" t="s">
        <v>29</v>
      </c>
      <c r="B14" s="125"/>
      <c r="C14" s="125"/>
      <c r="D14" s="125"/>
      <c r="E14" s="125"/>
      <c r="F14" s="125"/>
      <c r="G14" s="125"/>
    </row>
    <row r="17" ht="24" customHeight="1"/>
    <row r="18" ht="24" customHeight="1"/>
  </sheetData>
  <sheetProtection formatCells="0"/>
  <mergeCells count="16">
    <mergeCell ref="A14:G14"/>
    <mergeCell ref="O12:O13"/>
    <mergeCell ref="A4:A5"/>
    <mergeCell ref="A6:A7"/>
    <mergeCell ref="A9:A10"/>
    <mergeCell ref="A12:A13"/>
    <mergeCell ref="O4:O5"/>
    <mergeCell ref="O6:O7"/>
    <mergeCell ref="O9:O10"/>
    <mergeCell ref="A1:C1"/>
    <mergeCell ref="J1:O1"/>
    <mergeCell ref="A2:A3"/>
    <mergeCell ref="B2:B3"/>
    <mergeCell ref="C2:C3"/>
    <mergeCell ref="D2:I2"/>
    <mergeCell ref="J2:O2"/>
  </mergeCells>
  <phoneticPr fontId="2"/>
  <conditionalFormatting sqref="H1 D4:G13">
    <cfRule type="containsBlanks" dxfId="1" priority="2" stopIfTrue="1">
      <formula>LEN(TRIM(D1))=0</formula>
    </cfRule>
  </conditionalFormatting>
  <pageMargins left="0.39370078740157483" right="0.39370078740157483" top="0.39370078740157483" bottom="0.39370078740157483" header="0.51181102362204722" footer="0.51181102362204722"/>
  <pageSetup paperSize="9" orientation="landscape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6"/>
  </sheetPr>
  <dimension ref="A1:M38"/>
  <sheetViews>
    <sheetView view="pageBreakPreview" topLeftCell="A14" zoomScaleNormal="100" zoomScaleSheetLayoutView="100" workbookViewId="0">
      <selection sqref="A1:K1"/>
    </sheetView>
  </sheetViews>
  <sheetFormatPr defaultRowHeight="13.2"/>
  <cols>
    <col min="1" max="1" width="6.44140625" customWidth="1"/>
    <col min="2" max="11" width="8.6640625" customWidth="1"/>
    <col min="12" max="12" width="5.109375" customWidth="1"/>
  </cols>
  <sheetData>
    <row r="1" spans="1:13" ht="26.4" thickBot="1">
      <c r="A1" s="155" t="s">
        <v>41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</row>
    <row r="2" spans="1:13" ht="30" customHeight="1" thickBot="1">
      <c r="A2" s="159" t="s">
        <v>11</v>
      </c>
      <c r="B2" s="160"/>
      <c r="C2" s="160"/>
      <c r="D2" s="160"/>
      <c r="E2" s="160"/>
      <c r="F2" s="160"/>
      <c r="G2" s="165"/>
      <c r="H2" s="166"/>
      <c r="I2" s="166"/>
      <c r="J2" s="166"/>
      <c r="K2" s="167"/>
    </row>
    <row r="3" spans="1:13" ht="19.5" customHeight="1" thickTop="1">
      <c r="A3" s="172" t="s">
        <v>15</v>
      </c>
      <c r="B3" s="173"/>
      <c r="C3" s="174"/>
      <c r="D3" s="161" t="s">
        <v>9</v>
      </c>
      <c r="E3" s="168"/>
      <c r="F3" s="169"/>
      <c r="G3" s="186">
        <f>'１～６年　当初 '!H1</f>
        <v>0</v>
      </c>
      <c r="H3" s="162"/>
      <c r="I3" s="162"/>
      <c r="J3" s="162"/>
      <c r="K3" s="90" t="s">
        <v>17</v>
      </c>
    </row>
    <row r="4" spans="1:13" ht="19.5" customHeight="1" thickBot="1">
      <c r="A4" s="175"/>
      <c r="B4" s="176"/>
      <c r="C4" s="177"/>
      <c r="D4" s="163" t="s">
        <v>12</v>
      </c>
      <c r="E4" s="170"/>
      <c r="F4" s="171"/>
      <c r="G4" s="187">
        <f>'１～６年　末 '!H1</f>
        <v>0</v>
      </c>
      <c r="H4" s="164"/>
      <c r="I4" s="164"/>
      <c r="J4" s="164"/>
      <c r="K4" s="91" t="s">
        <v>17</v>
      </c>
    </row>
    <row r="5" spans="1:13" ht="26.25" customHeight="1" thickBot="1">
      <c r="A5" s="156" t="s">
        <v>18</v>
      </c>
      <c r="B5" s="157"/>
      <c r="C5" s="157"/>
      <c r="D5" s="157"/>
      <c r="E5" s="157"/>
      <c r="F5" s="157"/>
      <c r="G5" s="157"/>
      <c r="H5" s="157"/>
      <c r="I5" s="157"/>
      <c r="J5" s="157"/>
      <c r="K5" s="158"/>
    </row>
    <row r="6" spans="1:13" ht="43.5" customHeight="1" thickBot="1">
      <c r="A6" s="41"/>
      <c r="B6" s="76">
        <v>1</v>
      </c>
      <c r="C6" s="77">
        <v>2</v>
      </c>
      <c r="D6" s="77">
        <v>3</v>
      </c>
      <c r="E6" s="77">
        <v>4</v>
      </c>
      <c r="F6" s="78">
        <v>5</v>
      </c>
      <c r="G6" s="77">
        <v>6</v>
      </c>
      <c r="H6" s="77">
        <v>7</v>
      </c>
      <c r="I6" s="77">
        <v>8</v>
      </c>
      <c r="J6" s="77">
        <v>9</v>
      </c>
      <c r="K6" s="110">
        <v>10</v>
      </c>
    </row>
    <row r="7" spans="1:13" ht="43.5" customHeight="1" thickTop="1">
      <c r="A7" s="66" t="s">
        <v>21</v>
      </c>
      <c r="B7" s="74" t="e">
        <f>'１～６年　当初 '!N4</f>
        <v>#DIV/0!</v>
      </c>
      <c r="C7" s="75" t="e">
        <f>'１～６年　当初 '!N5</f>
        <v>#DIV/0!</v>
      </c>
      <c r="D7" s="75" t="e">
        <f>'１～６年　当初 '!N6</f>
        <v>#DIV/0!</v>
      </c>
      <c r="E7" s="75" t="e">
        <f>'１～６年　当初 '!N7</f>
        <v>#DIV/0!</v>
      </c>
      <c r="F7" s="75" t="e">
        <f>'１～６年　当初 '!N8</f>
        <v>#DIV/0!</v>
      </c>
      <c r="G7" s="75" t="e">
        <f>'１～６年　当初 '!N9</f>
        <v>#DIV/0!</v>
      </c>
      <c r="H7" s="75" t="e">
        <f>'１～６年　当初 '!N10</f>
        <v>#DIV/0!</v>
      </c>
      <c r="I7" s="75" t="e">
        <f>'１～６年　当初 '!N11</f>
        <v>#DIV/0!</v>
      </c>
      <c r="J7" s="75" t="e">
        <f>'１～６年　当初 '!N12</f>
        <v>#DIV/0!</v>
      </c>
      <c r="K7" s="111" t="e">
        <f>'１～６年　当初 '!N13</f>
        <v>#DIV/0!</v>
      </c>
    </row>
    <row r="8" spans="1:13" ht="43.5" customHeight="1" thickBot="1">
      <c r="A8" s="67" t="s">
        <v>22</v>
      </c>
      <c r="B8" s="49" t="e">
        <f>'１～６年　末 '!N4</f>
        <v>#DIV/0!</v>
      </c>
      <c r="C8" s="50" t="e">
        <f>'１～６年　末 '!N5</f>
        <v>#DIV/0!</v>
      </c>
      <c r="D8" s="50" t="e">
        <f>'１～６年　末 '!N6</f>
        <v>#DIV/0!</v>
      </c>
      <c r="E8" s="50" t="e">
        <f>'１～６年　末 '!N7</f>
        <v>#DIV/0!</v>
      </c>
      <c r="F8" s="50" t="e">
        <f>'１～６年　末 '!N8</f>
        <v>#DIV/0!</v>
      </c>
      <c r="G8" s="50" t="e">
        <f>'１～６年　末 '!N9</f>
        <v>#DIV/0!</v>
      </c>
      <c r="H8" s="50" t="e">
        <f>'１～６年　末 '!N10</f>
        <v>#DIV/0!</v>
      </c>
      <c r="I8" s="50" t="e">
        <f>'１～６年　末 '!N11</f>
        <v>#DIV/0!</v>
      </c>
      <c r="J8" s="50" t="e">
        <f>'１～６年　末 '!N12</f>
        <v>#DIV/0!</v>
      </c>
      <c r="K8" s="112" t="e">
        <f>'１～６年　末 '!N13</f>
        <v>#DIV/0!</v>
      </c>
    </row>
    <row r="9" spans="1:13">
      <c r="L9">
        <f>'１～６年　当初 '!B4</f>
        <v>1</v>
      </c>
      <c r="M9" t="str">
        <f>'１～６年　当初 '!C4</f>
        <v>道徳の勉強は、すきだ。</v>
      </c>
    </row>
    <row r="10" spans="1:13">
      <c r="L10">
        <f>'１～６年　当初 '!B5</f>
        <v>2</v>
      </c>
      <c r="M10" t="str">
        <f>'１～６年　当初 '!C5</f>
        <v>道徳の授業では、自分の考えを伝えたり、ほかの人の考えを聞いたりしながら、自分のこと（生き方）についてよく考えている。</v>
      </c>
    </row>
    <row r="11" spans="1:13">
      <c r="L11">
        <f>'１～６年　当初 '!B6</f>
        <v>3</v>
      </c>
      <c r="M11" t="str">
        <f>'１～６年　当初 '!C6</f>
        <v>ものごとを最後までやりとげて、うれしかったことがある。</v>
      </c>
    </row>
    <row r="12" spans="1:13">
      <c r="L12">
        <f>'１～６年　当初 '!B7</f>
        <v>4</v>
      </c>
      <c r="M12" t="str">
        <f>'１～６年　当初 '!C7</f>
        <v>自分には、よいところがあると思う。</v>
      </c>
    </row>
    <row r="13" spans="1:13">
      <c r="L13">
        <f>'１～６年　当初 '!B8</f>
        <v>5</v>
      </c>
      <c r="M13" t="str">
        <f>'１～６年　当初 '!C8</f>
        <v>将来の夢や目標をもっている。</v>
      </c>
    </row>
    <row r="14" spans="1:13">
      <c r="L14">
        <f>'１～６年　当初 '!B9</f>
        <v>6</v>
      </c>
      <c r="M14" t="str">
        <f>'１～６年　当初 '!C9</f>
        <v>人の気もちが分かる人間になりたいと思う。</v>
      </c>
    </row>
    <row r="15" spans="1:13">
      <c r="L15">
        <f>'１～６年　当初 '!B12</f>
        <v>9</v>
      </c>
      <c r="M15" t="str">
        <f>'１～６年　当初 '!C12</f>
        <v>地域や社会をよくするために何をすべきかを考えることがある。</v>
      </c>
    </row>
    <row r="16" spans="1:13">
      <c r="L16">
        <f>'１～６年　当初 '!B13</f>
        <v>10</v>
      </c>
      <c r="M16" t="str">
        <f>'１～６年　当初 '!C13</f>
        <v>高知県がすきだ。</v>
      </c>
    </row>
    <row r="35" spans="1:11" ht="13.8" thickBot="1">
      <c r="A35" t="s">
        <v>13</v>
      </c>
    </row>
    <row r="36" spans="1:11" ht="88.5" customHeight="1" thickBot="1">
      <c r="A36" s="152"/>
      <c r="B36" s="153"/>
      <c r="C36" s="153"/>
      <c r="D36" s="153"/>
      <c r="E36" s="153"/>
      <c r="F36" s="153"/>
      <c r="G36" s="153"/>
      <c r="H36" s="153"/>
      <c r="I36" s="153"/>
      <c r="J36" s="153"/>
      <c r="K36" s="154"/>
    </row>
    <row r="37" spans="1:11" ht="13.8" thickBot="1">
      <c r="A37" t="s">
        <v>14</v>
      </c>
      <c r="C37" s="19"/>
      <c r="D37" s="19"/>
      <c r="E37" s="19"/>
      <c r="F37" s="19"/>
    </row>
    <row r="38" spans="1:11" ht="88.5" customHeight="1" thickBot="1">
      <c r="A38" s="152"/>
      <c r="B38" s="153"/>
      <c r="C38" s="153"/>
      <c r="D38" s="153"/>
      <c r="E38" s="153"/>
      <c r="F38" s="153"/>
      <c r="G38" s="153"/>
      <c r="H38" s="153"/>
      <c r="I38" s="153"/>
      <c r="J38" s="153"/>
      <c r="K38" s="154"/>
    </row>
  </sheetData>
  <sheetProtection formatCells="0" formatColumns="0" formatRows="0" insertColumns="0" insertRows="0"/>
  <mergeCells count="11">
    <mergeCell ref="A38:K38"/>
    <mergeCell ref="A1:K1"/>
    <mergeCell ref="A2:F2"/>
    <mergeCell ref="G2:K2"/>
    <mergeCell ref="A3:C4"/>
    <mergeCell ref="D3:F3"/>
    <mergeCell ref="G3:J3"/>
    <mergeCell ref="G4:J4"/>
    <mergeCell ref="D4:F4"/>
    <mergeCell ref="A5:K5"/>
    <mergeCell ref="A36:K36"/>
  </mergeCells>
  <phoneticPr fontId="2"/>
  <conditionalFormatting sqref="G2:K2 A36:K36 A38:K38">
    <cfRule type="containsBlanks" dxfId="0" priority="1" stopIfTrue="1">
      <formula>LEN(TRIM(A2))=0</formula>
    </cfRule>
  </conditionalFormatting>
  <pageMargins left="0.51181102362204722" right="0.51181102362204722" top="0.74803149606299213" bottom="0.74803149606299213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15</vt:i4>
      </vt:variant>
    </vt:vector>
  </HeadingPairs>
  <TitlesOfParts>
    <vt:vector size="30" baseType="lpstr">
      <vt:lpstr>１・２年印刷用</vt:lpstr>
      <vt:lpstr>３・４年印刷用</vt:lpstr>
      <vt:lpstr>５・６年印刷用</vt:lpstr>
      <vt:lpstr>１・２年　１回目</vt:lpstr>
      <vt:lpstr>１・２年　２回目</vt:lpstr>
      <vt:lpstr>１・２年　総括</vt:lpstr>
      <vt:lpstr>３・４年　１回目</vt:lpstr>
      <vt:lpstr>３・４年　２回目</vt:lpstr>
      <vt:lpstr>３・４年　総括</vt:lpstr>
      <vt:lpstr>５・６年　１回目</vt:lpstr>
      <vt:lpstr>５・６年　２回目</vt:lpstr>
      <vt:lpstr>５・６年　総括</vt:lpstr>
      <vt:lpstr>１～６年　当初 </vt:lpstr>
      <vt:lpstr>１～６年　末 </vt:lpstr>
      <vt:lpstr>１～６年　総括 </vt:lpstr>
      <vt:lpstr>'１～６年　総括 '!Print_Area</vt:lpstr>
      <vt:lpstr>'１～６年　当初 '!Print_Area</vt:lpstr>
      <vt:lpstr>'１～６年　末 '!Print_Area</vt:lpstr>
      <vt:lpstr>'１・２年　１回目'!Print_Area</vt:lpstr>
      <vt:lpstr>'１・２年　２回目'!Print_Area</vt:lpstr>
      <vt:lpstr>'１・２年　総括'!Print_Area</vt:lpstr>
      <vt:lpstr>'１・２年印刷用'!Print_Area</vt:lpstr>
      <vt:lpstr>'３・４年　１回目'!Print_Area</vt:lpstr>
      <vt:lpstr>'３・４年　２回目'!Print_Area</vt:lpstr>
      <vt:lpstr>'３・４年　総括'!Print_Area</vt:lpstr>
      <vt:lpstr>'３・４年印刷用'!Print_Area</vt:lpstr>
      <vt:lpstr>'５・６年　１回目'!Print_Area</vt:lpstr>
      <vt:lpstr>'５・６年　２回目'!Print_Area</vt:lpstr>
      <vt:lpstr>'５・６年　総括'!Print_Area</vt:lpstr>
      <vt:lpstr>'５・６年印刷用'!Print_Area</vt:lpstr>
    </vt:vector>
  </TitlesOfParts>
  <Company>高知県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高知県</dc:creator>
  <cp:lastModifiedBy>田中朋広</cp:lastModifiedBy>
  <cp:lastPrinted>2023-04-21T08:34:29Z</cp:lastPrinted>
  <dcterms:created xsi:type="dcterms:W3CDTF">2009-04-12T02:32:42Z</dcterms:created>
  <dcterms:modified xsi:type="dcterms:W3CDTF">2025-02-07T16:06:27Z</dcterms:modified>
</cp:coreProperties>
</file>